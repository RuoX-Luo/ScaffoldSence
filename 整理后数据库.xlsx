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luoxuhang/Documents/code/project/rag/"/>
    </mc:Choice>
  </mc:AlternateContent>
  <xr:revisionPtr revIDLastSave="0" documentId="13_ncr:1_{BBD2FCE7-A7B1-2F4D-8429-7A1204372DD7}" xr6:coauthVersionLast="47" xr6:coauthVersionMax="47" xr10:uidLastSave="{00000000-0000-0000-0000-000000000000}"/>
  <bookViews>
    <workbookView xWindow="1940" yWindow="-13900" windowWidth="25600" windowHeight="13900" xr2:uid="{6F8B5F25-8236-F24A-BBB2-2C2BE9A178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175" i="1" l="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2" i="1"/>
  <c r="H91" i="1"/>
  <c r="H94" i="1"/>
  <c r="H93" i="1"/>
  <c r="H87" i="1"/>
  <c r="H90" i="1"/>
  <c r="H89" i="1"/>
  <c r="H88" i="1"/>
  <c r="H86" i="1"/>
  <c r="H85" i="1"/>
  <c r="H84" i="1"/>
  <c r="H83" i="1"/>
  <c r="H82" i="1"/>
  <c r="H81" i="1"/>
  <c r="H80" i="1"/>
  <c r="H79" i="1"/>
  <c r="H78" i="1"/>
  <c r="H77" i="1"/>
  <c r="H76" i="1"/>
  <c r="H75" i="1"/>
  <c r="H74" i="1"/>
  <c r="H73" i="1"/>
  <c r="H72" i="1"/>
  <c r="H71" i="1"/>
  <c r="H70" i="1"/>
  <c r="H69" i="1"/>
  <c r="H68" i="1"/>
  <c r="H67" i="1"/>
  <c r="H66" i="1"/>
  <c r="H65"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4" i="1"/>
  <c r="H3" i="1"/>
</calcChain>
</file>

<file path=xl/sharedStrings.xml><?xml version="1.0" encoding="utf-8"?>
<sst xmlns="http://schemas.openxmlformats.org/spreadsheetml/2006/main" count="880" uniqueCount="468">
  <si>
    <t>doc_id</t>
  </si>
  <si>
    <t>chunk_id</t>
  </si>
  <si>
    <t>section_path</t>
  </si>
  <si>
    <t>page_start/page_end</t>
  </si>
  <si>
    <t>para_idx</t>
  </si>
  <si>
    <t>text</t>
  </si>
  <si>
    <t>len_chars</t>
  </si>
  <si>
    <t>文件名</t>
  </si>
  <si>
    <t>稳定 ID</t>
  </si>
  <si>
    <t>例如“第2章&gt;2.3&gt;2.3.1”</t>
  </si>
  <si>
    <t>段落序号</t>
  </si>
  <si>
    <t>正文</t>
  </si>
  <si>
    <t>字数</t>
  </si>
  <si>
    <t>doc_name</t>
    <phoneticPr fontId="1" type="noConversion"/>
  </si>
  <si>
    <t>文件编号</t>
    <phoneticPr fontId="1" type="noConversion"/>
  </si>
  <si>
    <t>施工脚手架通用规范</t>
    <phoneticPr fontId="1" type="noConversion"/>
  </si>
  <si>
    <t>GB 55023-2022</t>
    <phoneticPr fontId="1" type="noConversion"/>
  </si>
  <si>
    <t>1 总则
1.0.1 为保障施工脚手架安全、适用，制定本规范。
1.0.2 施工脚手架的材料与构配件选用、设计、搭设、使用、拆除、检查与验收必须执行本规范。
1.0.3 脚手架应稳固可靠，保证工程建设的顺利实施与安全，并应遵循下列原则：
1 符合国家资源节约利用、环保、防灾减灾、应急管理等政策；
2 保障人身、财产和公共安全；
3 鼓励脚手架的技术创新和管理创新。
1.0.4 工程建设所采用的技术方法和措施是否符合本规范要求，由相关责任主体判定。其中，创新性的技术方法和措施，应进行论证并符合本规范中有关性能的要求。</t>
    <phoneticPr fontId="1" type="noConversion"/>
  </si>
  <si>
    <t>1/1</t>
    <phoneticPr fontId="1" type="noConversion"/>
  </si>
  <si>
    <t>2/2</t>
    <phoneticPr fontId="1" type="noConversion"/>
  </si>
  <si>
    <t>2 基本规定
2.0.1 脚手架性能应符合下列规定：
1 应满足承载力设计要求；
2 不应发生影响正常使用的变形；
3 应满足使用要求，并应具有安全防护功能；
4 附着或支承在工程结构上的脚手架，不应使所附着的工程结构或支承脚手架的工程结构受到损害。
2.0.2 脚手架应根据使用功能和环境进行设计。
2.0.3 脚手架搭设和拆除作业以前，应根据工程特点编制脚手架专项施工方案，并应经审批后实施。脚手架专项施工方案应包括下列主要内容：
1 工程概况和编制依据；
2 脚手架类型选择；
3 所用材料、构配件类型及规格；
4 结构与构造设计施工图；
5 结构设计计算书；
6 搭设、拆除施工计划；
7 搭设、拆除技术要求；
8 质量控制措施；
9 安全控制措施；
10 应急预案。
2.0.4 脚手架搭设和拆除作业前，应将脚手架专项施工方案向施工现场管理人员及作业人员进行安全技术交底。
2.0.5 脚手架使用过程中，不应改变其结构体系。
2.0.6 当脚手架专项施工方案需要修改时，修改后的方案应经审批后实施。</t>
    <phoneticPr fontId="1" type="noConversion"/>
  </si>
  <si>
    <t>3 材料与构配件
3.0.1 脚手架材料与构配件的性能指标应满足脚手架使用的需要，质量应符合国家现行相关标准的规定。
3.0.2 脚手架材料与构配件应有产品质量合格证明文件。
3.0.3 脚手架所用杆件和构配件应配套使用，并应满足组架方式及构造要求。
3.0.4 脚手架材料与构配件在使用周期内，应及时检查、分类、维护、保养，对不合格品应及时报废，并应形成文件记录。
3.0.5 对于无法通过结构分析、外观检查和测量检查确定性能的材料与构配件，应通过试验确定其受力性能。</t>
    <phoneticPr fontId="1" type="noConversion"/>
  </si>
  <si>
    <t>3/3</t>
    <phoneticPr fontId="1" type="noConversion"/>
  </si>
  <si>
    <t>4 设计
4.1 一般规定
4.1.1 脚手架设计应采用以概率理论为基础的极限状态设计方法，并应以分项系数设计表达式进行计算。
4.1.2 脚手架结构应按承载能力极限状态和正常使用极限状态进行设计。
4.1.3 脚手架地基应符合下列规定：
1 应平整坚实，应满足承载力和变形要求；
2 应设置排水措施，搭设场地不应积水；
3 冬期施工应采取防冻胀措施。
4.1.4 应对支撑脚手架的工程结构和脚手架所附着的工程结构进行强度和变形验算。当验算不能满足安全承载要求时，应根据验算结果采取相应的加固措施。
4.2 荷载
4.2.1 脚手架承受的荷载应包括永久荷载和可变荷载。
4.2.2 脚手架的永久荷载应包括下列内容：
1 脚手架结构件自重；
2 脚手板、安全网、栏杆等附件的自重；
3 支撑脚手架所支撑的物体自重；
4 其他永久荷载。
4.2.3 脚手架的可变荷载应包括下列内容：
1 施工荷载；
2 风荷载；
3 其他可变荷载。
4.2.4 脚手架可变荷载标准值的取值应符合下列规定：
1 应根据实际情况确定作业脚手架上的施工荷载标准值，且不应低于表4.2.4-1的规定；
【表4.2.4-1 作业脚手架施工荷载标准值】本表规定了作业脚手架在不同用途条件下的施工荷载标准值：</t>
    <phoneticPr fontId="1" type="noConversion"/>
  </si>
  <si>
    <t>4.2.4 脚手架可变荷载标准值的取值应符合下列规定：
1 应根据实际情况确定作业脚手架上的施工荷载标准值，且不应低于表4.2.4-1的规定；
【表4.2.4-1 作业脚手架施工荷载标准值】本表规定了作业脚手架在不同用途条件下的施工荷载标准值：
（1）在砌筑工程作业条件下，施工荷载标准值为3.0kN/m²；
（2）在其他主体结构工程作业条件下，施工荷载标准值为2.0kN/m²；
（3）在装饰装修作业条件下，施工荷载标准值为2.0kN/m²；
（4）在防护用途条件下，施工荷载标准值为1.0kN/m²。
2 当作业脚手架上存在2个及以上作业层同时作业时，在同一跨距内各操作层的施工荷载标准值总和取值不应小于5.0kN/m²；
3 应根据实际情况确定支撑脚手架上的施工荷载标准值，且不应低于表4.2.4-2的规定；
【表4.2.4-2 支撑脚手架施工荷载标准值】本表规定了支撑脚手架在不同结构及使用条件下的施工荷载标准值：
（1）在混凝土结构模板支撑脚手架一般条件下，施工荷载标准值为2.5kN/m²；
（2）在混凝土结构模板支撑脚手架设置水平泵管条件下，施工荷载标准值为4.0kN/m²；
（3）在钢结构安装支撑脚手架用于轻钢结构、轻钢空间网架结构条件下，施工荷载标准值为2.0kN/m²；
（4）在钢结构安装支撑脚手架用于普通钢结构条件下，施工荷载标准值为3.0kN/m²；
（5）在钢结构安装支撑脚手架用于重型钢结构条件下，施工荷载标准值为3.5kN/m²。
4 支撑脚手架上移动的设备、工具等物品应按其自重计算可变荷载标准值。
4.2.5 在计算水平风荷载标准值时，高耸塔式结构、悬臂结构等特殊脚手架结构应计入风荷载的脉动增大效应。
4.2.6 对于脚手架上的动力荷载，应将振动、冲击物体的自重乘以动力系数1.35后计入可变荷载标准值。
4.2.7 脚手架设计时，荷载应按承载能力极限状态和正常使用极限状态计算的需要分别进行组合，并应根据正常搭设、使用或拆除过程中在脚手架上可能同时出现的荷载，取最不利的荷载组合。</t>
    <phoneticPr fontId="1" type="noConversion"/>
  </si>
  <si>
    <t>5/6</t>
    <phoneticPr fontId="1" type="noConversion"/>
  </si>
  <si>
    <t>4/4</t>
    <phoneticPr fontId="1" type="noConversion"/>
  </si>
  <si>
    <t>4.3 结构设计
4.3.1 脚手架设计计算应根据工程实际施工工况进行，结果应满足对脚手架强度、刚度、稳定性的要求。
4.3.2 脚手架结构设计计算应依据施工工况选择具有代表性的最不利杆件及构配件，以其最不利截面和最不利工况作为计算条件，计算单元的选取应符合下列规定：
1 应选取受力最大的杆件、构配件；
2 应选取跨度、间距变化和几何形状、承力特性改变部位的杆件、构配件；
3 应选取架体构造变化处或薄弱处的杆件、构配件；
4 当脚手架上有集中荷载作用时，尚应选取集中荷载作用范围内受力最大的杆件、构配件。
4.3.3 脚手架杆件和构配件强度应按净截面计算；杆件和构配件稳定性、变形应按毛截面计算。
4.3.4 当脚手架按承载能力极限状态设计时，应采用荷载基本组合和材料强度设计值计算。当脚手架按正常使用极限状态设计时，应采用荷载标准组合和变形限值进行计算。
4.3.5 脚手架受弯构件容许挠度应符合表4.3.5的规定。
【表4.3.5 脚手架受弯构件容许挠度】本表规定了脚手架不同受弯构件类别的容许挠度：
（1）在脚手板、水平杆件条件下，容许挠度为l/150与10mm取较小值；
（2）在作业脚手架悬挑受弯杆件条件下，容许挠度为l/400；
（3）在模板支撑脚手架受弯杆件条件下，容许挠度为l/400。
注：l为受弯构件的计算跨度，对悬挑构件为悬伸长度的2倍。
4.3.6 模板支撑脚手架应根据施工工况对连续支撑进行设计计算，并应按最不利的工况计算确定支撑层数。</t>
    <phoneticPr fontId="1" type="noConversion"/>
  </si>
  <si>
    <t>6/7</t>
    <phoneticPr fontId="1" type="noConversion"/>
  </si>
  <si>
    <t>4.4 构造要求
4.4.1 脚手架构造措施应合理、齐全、完整，并应保证架体传力清晰、受力均匀。
4.4.2 脚手架杆件连接节点应具备足够强度和转动刚度，架体在使用期内节点应无松动。
4.4.3 脚手架立杆间距、步距应通过设计确定。
4.4.4 脚手架作业层应采取安全防护措施，并应符合下列规定：
1 作业脚手架、满堂支撑脚手架、附着式升降脚手架作业层应满铺脚手板，并应满足稳固可靠的要求。当作业层边缘与结构外表面的距离大于150mm时，应采取防护措施。
2 采用挂钩连接的钢脚手板，应带有自锁装置且与作业层水平杆锁紧。
3 木脚手板、竹串片脚手板、竹笆脚手板应有可靠的水平杆支承，并应绑扎稳固。
4 脚手架作业层外边缘应设置防护栏杆和挡脚板。
5 作业脚手架底层脚手板应采取封闭措施。
6 沿所施工建筑物每3层或高度不大于10m处应设置一层水平防护。
7 作业层外侧应采用安全网封闭。当采用密目安全网封闭时，密目安全网应满足阻燃要求。
8 脚手板伸出横向水平杆以外的部分不应大于200mm。
4.4.5 脚手架底部立杆应设置纵向和横向扫地杆，扫地杆应与相邻立杆连接稳固。
4.4.6 作业脚手架应按设计计算和构造要求设置连墙件，并应符合下列要求：
1 连墙件应采用能承受压力和拉力的刚性构件，并应与工程结构和架体连接牢固；</t>
    <phoneticPr fontId="1" type="noConversion"/>
  </si>
  <si>
    <t>7/8</t>
    <phoneticPr fontId="1" type="noConversion"/>
  </si>
  <si>
    <t>4.4.6 作业脚手架应按设计计算和构造要求设置连墙件，并应符合下列要求：
1 连墙件应采用能承受压力和拉力的刚性构件，并应与工程结构和架体连接牢固；
2 连墙点的水平间距不得超过3跨，竖向间距不得超过3步，连墙点之上架体的悬臂高度不应超过2步；
3 在架体的转角处、开口型作业脚手架端部应增设连墙件，连墙件竖向间距不应大于建筑物层高，且不应大于4m。
4.4.7 作业脚手架的纵向外侧立面上应设置竖向剪刀撑，并应符合下列规定：
1 每道剪刀撑的宽度应为4跨～6跨，且不应小于6m，也不应大于9m；剪刀撑斜杆与水平面的倾角应在45°～60°之间；
2 当搭设高度在24m以下时，应在架体两端、转角及中间每隔不超过15m各设置一道剪刀撑，并应由底至顶连续设置；当搭设高度在24m及以上时，应在全外侧立面上由底至顶连续设置；
3 悬挑脚手架、附着式升降脚手架应在全外侧立面上由底至顶连续设置。
4.4.8 悬挑脚手架立杆底部应与悬挑支承结构可靠连接；应在立杆底部设置纵向扫地杆，并应间断设置水平剪刀撑或水平斜撑杆。
4.4.9 附着式升降脚手架应符合下列规定：
1 竖向主框架、水平支承桁架应采用桁架或刚架结构，杆件应采用焊接或螺栓连接；
2 应设有防倾、防坠、停层、荷载、同步升降控制装置，各类装置应灵敏可靠；
3 在竖向主框架所覆盖的每个楼层均应设置一道附墙支座；每道附墙支座应能承担竖向主框架的全部荷载；
4 当采用电动升降设备时，电动升降设备连续升降距离应大于一个楼层高度，并应有制动和定位功能。
4.4.10 应对下列部位的作业脚手架采取可靠的构造加强措施：</t>
    <phoneticPr fontId="1" type="noConversion"/>
  </si>
  <si>
    <t>4.4.10 应对下列部位的作业脚手架采取可靠的构造加强措施：
1 附着、支承于工程结构的连接处；
2 平面布置的转角处；
3 塔式起重机、施工升降机、物料平台等设施断开或开洞处；
4 楼面高度大于连墙件设置竖向高度的部位；
5 工程结构突出物影响架体正常布置处。
4.4.11 临街作业脚手架的外侧立面、转角处应采取有效硬防护措施。
4.4.12 支撑脚手架独立架体高宽比不应大于3.0。
4.4.13 支撑脚手架应设置竖向和水平剪刀撑，并应符合下列规定：
1 剪刀撑的设置应均匀、对称；
2 每道竖向剪刀撑的宽度应为6m～9m，剪刀撑斜杆的倾角应在45°～60°之间。
4.4.14 支撑脚手架的水平杆应按步距沿纵向和横向通长连续设置，且应与相邻立杆连接稳固。
4.4.15 脚手架可调底座和可调托撑调节螺杆插入脚手架立杆内的长度不应小于150mm，且调节螺杆伸出长度应经计算确定，并应符合下列规定：
1 当插入的立杆钢管直径为42mm时，伸出长度不应大于200mm；
2 当插入的立杆钢管直径为48.3mm及以上时，伸出长度不应大于300mm。
4.4.16 可调底座和可调托撑螺杆插入脚手架立杆钢管内的间隙不应大于2.5mm。</t>
    <phoneticPr fontId="1" type="noConversion"/>
  </si>
  <si>
    <t>7/7</t>
    <phoneticPr fontId="1" type="noConversion"/>
  </si>
  <si>
    <t>8/9</t>
    <phoneticPr fontId="1" type="noConversion"/>
  </si>
  <si>
    <t>8/8</t>
    <phoneticPr fontId="1" type="noConversion"/>
  </si>
  <si>
    <t>5 搭设、使用与拆除
5.1 个人防护
5.1.1 搭设和拆除脚手架作业应有相应的安全措施，操作人员应佩戴个人防护用品，应穿防滑鞋。
5.1.2 在搭设和拆除脚手架作业时，应设置安全警戒线、警戒标志，并应由专人监护，严禁非作业人员入内。
5.1.3 当在脚手架上架设临时施工用电线路时，应有绝缘措施，操作人员应穿绝缘防滑鞋；脚手架与架空输电线路之间应设有安全距离，并应设置接地、防雷设施。
5.1.4 当在狭小空间或空气不流通空间进行搭设、使用和拆除脚手架作业时，应采取保证足够的氧气供应措施，并应防止有毒有害、易燃易爆物质积聚。
5.2 搭设
5.2.1 脚手架应按顺序搭设，并应符合下列规定：
1 落地作业脚手架、悬挑脚手架的搭设应与主体结构工程施工同步，一次搭设高度不应超过最上层连墙件2步，且自由高度不应大于4m；
2 剪刀撑、斜撑杆等加固杆件应随架体同步搭设；
3 构件组装类脚手架的搭设应自一端向另一端延伸，应自下而上按步逐层搭设，并应逐层改变搭设方向；
4 每搭设完一步距架体后，应及时校正立杆间距、步距、垂直度及水平杆的水平度。
5.2.2 作业脚手架连墙件安装应符合下列规定：
1 连墙件的安装应随作业脚手架搭设同步进行；
2 当作业脚手架操作层高出相邻连墙件2个步距及以上时，在上层连墙件安装完毕前，应采取临时拉结措施。
5.2.3 悬挑脚手架、附着式升降脚手架在搭设时，悬挑支承结构、附着支座的锚固应稳固可靠。
5.2.4 脚手架安全防护网和防护栏杆等防护设施应随架体搭设同步安装到位。</t>
    <phoneticPr fontId="1" type="noConversion"/>
  </si>
  <si>
    <t>10/11</t>
    <phoneticPr fontId="1" type="noConversion"/>
  </si>
  <si>
    <t>11/12</t>
    <phoneticPr fontId="1" type="noConversion"/>
  </si>
  <si>
    <t>5.3 使用
5.3.1 脚手架作业层上的荷载不得超过荷载设计值。
5.3.2 雷雨天气、6级及以上大风天气应停止上架作业；雨、雪、雾天气应停止脚手架的搭设和拆除作业；雨、雪、霜后上架作业应采取有效的防滑措施，雪天应清除积雪。
5.3.3 严禁将支撑脚手架、缆风绳、混凝土输送泵管、卸料平台及大型设备的支承件等固定在作业脚手架上。严禁在作业脚手架上悬挂起重设备。
5.3.4 脚手架在使用过程中，应定期进行检查并形成记录，脚手架工作状态应符合下列规定：
1 主要受力杆件、剪刀撑等加固杆件和连墙件应无缺失、无松动，架体应无明显变形；
2 场地应无积水，立杆底端应无松动、无悬空；
3 安全防护设施应齐全、有效，应无损坏缺失；
4 附着式升降脚手架支座应稳固，防倾、防坠、停层、荷载、同步升降控制装置应处于良好工作状态，架体升降应正常平稳；
5 悬挑脚手架的悬挑支承结构应稳固。
5.3.5 当遇到下列情况之一时，应对脚手架进行检查并应形成记录，确认安全后方可继续使用：
1 承受偶然荷载后；
2 遇有6级及以上强风后；
3 大雨及以上降水后；
4 冻结的地基土解冻后；
5 停用超过1个月；
6 架体部分拆除；
7 其他特殊情况。
5.3.6 脚手架在使用过程中出现安全隐患时，应及时排除；当出现下列状态之一时，应立即撤离作业人员，并应及时组织检查处置：
1 杆件、连接件因超过材料强度破坏，或因连接节点产生滑移，或因过度变形而不适于继续承载；
2 脚手架部分结构失去平衡；
3 脚手架结构杆件发生失稳；
4 脚手架发生整体倾斜；
5 地基部分失去继续承载的能力。</t>
    <phoneticPr fontId="1" type="noConversion"/>
  </si>
  <si>
    <t>5.3.7 支撑脚手架在浇筑混凝土、工程结构件安装等施加载荷的过程中，架体下严禁有人。
5.3.8 在脚手架内进行电焊、气焊和其他动火作业时，应在动火申请批准后进行作业，并应采取设置接火斗、配置灭火器、移开易燃物等防火措施，同时应设专人监护。
5.3.9 脚手架使用期间，严禁在脚手架立杆基础下方及附近实施挖掘作业。
5.3.10 附着式升降脚手架在使用过程中不得拆除防倾、防坠、停层、荷载、同步升降控制装置。
5.3.11 当附着式升降脚手架在升降作业时或外挂防护架在提升作业时，架体上严禁有人，架体下方不得进行交叉作业。
5.4 拆除
5.4.1 脚手架拆除前，应清除作业层上的堆放物。
5.4.2 脚手架的拆除作业应符合下列规定：
1 架体拆除应按自上而下的顺序按步逐层进行，不应上下同时作业。
2 同层杆件和构配件应按先外后内的顺序拆除；剪刀撑、斜撑杆等加固杆件应在拆卸至该部位杆件时拆除。
3 作业脚手架连墙件应随架体逐层、同步拆除，不应先将连墙件整层或数层拆除后再拆架体。
4 作业脚手架拆除作业过程中，当架体悬臂段高度超过2步时，应加设临时拉结。
5.4.3 作业脚手架分段拆除时，应先对未拆除部分采取加固处理措施后再进行架体拆除。
5.4.4 架体拆除作业应统一组织，并应设专人指挥，不得交叉作业。
5.4.5 严禁高空抛掷拆除后的脚手架材料与构配件。</t>
    <phoneticPr fontId="1" type="noConversion"/>
  </si>
  <si>
    <t>12/13</t>
    <phoneticPr fontId="1" type="noConversion"/>
  </si>
  <si>
    <t>6 检查与验收
6.0.1 对搭设脚手架的材料、构配件质量，应按进场批次分品种、规格进行检验，检验合格后方可使用。
6.0.2 脚手架材料、构配件质量现场检验应采用随机抽样的方法进行外观质量、实测实量检验。
6.0.3 附着式升降脚手架支座及防倾、防坠、荷载控制装置、悬挑脚手架悬挑结构件等涉及架体使用安全的构配件应全数检验。
6.0.4 脚手架搭设过程中，应在下列阶段进行检查，检查合格后方可使用；不合格应进行整改，整改合格后方可使用：
1 基础完工后及脚手架搭设前；
2 首层水平杆搭设后；
3 作业脚手架每搭设一个楼层高度；
4 附着式升降脚手架支座、悬挑脚手架悬挑结构搭设固定后；
5 附着式升降脚手架在每次提升前、提升就位后，以及每次下降前、下降就位后；
6 外挂防护架在首次安装完毕、每次提升前、提升就位后；
7 搭设支撑脚手架，高度每2步～4步或不大于6m。
6.0.5 脚手架搭设达到设计高度或安装就位后，应进行验收，验收不合格的，不得使用。脚手架的验收应包括下列内容：
1 材料与构配件质量；
2 搭设场地、支承结构件的固定；
3 架体搭设质量；
4 专项施工方案、产品合格证、使用说明及检测报告、检查记录、测试记录等技术资料。</t>
    <phoneticPr fontId="1" type="noConversion"/>
  </si>
  <si>
    <t>14/14</t>
    <phoneticPr fontId="1" type="noConversion"/>
  </si>
  <si>
    <t>建筑施工模板和脚手架试验标准</t>
    <phoneticPr fontId="1" type="noConversion"/>
  </si>
  <si>
    <t>1 总则
1.0.1 为统一建筑施工模板、支撑架和脚手架的检验及试验方法，做到安全可靠、经济合理、技术先进、确保质量，制定本标准。
1.0.2 本标准适用于建筑工程和市政工程用模板、支撑架和脚手架的检验及试验。
1.0.3 建筑施工模板、支撑架和脚手架的检验及试验，除应符合本标准外，尚应符合国家现行有关标准的规定。</t>
    <phoneticPr fontId="1" type="noConversion"/>
  </si>
  <si>
    <t>2 术语和符号
2.1 术语
2.1.1 模架 constructional formwork and scaffold
模板、支撑架、脚手架、动模板和动脚手架的统称。
2.1.2 模板 formwork
用于浇筑混凝土成型的模具。
2.1.3 支撑架 supporting frame
由杆件或结构单元、构配件通过可靠连接而成，支承于地面或建筑物上，可承受各种荷载，为模板施工提供支撑的临时结构。
2.1.4 脚手架 scaffold
由杆件或结构单元、构配件通过可靠连接而成，支承于地面、建筑物上或附着于工程结构上，为建筑施工提供作业平台和安全防护的临时结构。
2.1.5 动模板 movable formwork
具有动力装置的可移模板。
2.1.6 动脚手架 movable scaffold
具有动力装置的可移脚手架。
2.1.7 背楞 waling
支承竖向模板的构件。
2.1.8 龙骨 keel
支承水平模板的构件。
2.1.9 典型单元 typical unit
施工过程中，受力条件和体型特征具有代表性的模板组合单元。
2.2 符号
2.2.1 材料性能
FN——附着固定螺栓最大轴向拉力实测值；
FV——附着固定螺栓最大剪力实测值；
ftk——附着固定螺栓抗拉强度标准值；
fvk——附着固定螺栓抗剪强度标准值。
2.2.2 作用和作用效应
[am]——模板、背楞和龙骨的挠度限值；
a0m——模板、背楞和龙骨在荷载标准组合效应值作用下的挠度实测值；
P——支撑架、脚手架典型单元的检验荷载实测值产生的荷载效应；
Pm——模板、背楞和龙骨承载力的检验荷载实测值产生的荷载效应；
R——支撑架、脚手架典型单元的承载力设计值；
S——支撑架、脚手架典型单元按荷载基本组合计算的效应设计值；
Sm——模板、背楞和龙骨承载力按荷载基本组合计算的效应设计值；
SGk——第i个永久荷载标准值产生的效应值；
SQk——第i个可变荷载标准值产生的效应值。
2.2.3 几何参数
An——附着固定螺栓净截面积；
A0——附着固定螺栓公称截面积；
v1——相邻机位检验高差最大值；
[v1]——相邻机位高差允许值；
v2——各机位间检验高差最大值；
[v2]——各机位间高差允许值。
2.2.4 计算系数及其他
α——支撑架、脚手架典型单元的类型系数；
γ0——结构重要性系数；
γR——承载力设计值调整系数；
ψcj——第j个可变荷载的组合值系数。</t>
    <phoneticPr fontId="1" type="noConversion"/>
  </si>
  <si>
    <t>3 基本规定
3.0.1 进入施工现场的模架应具有产品质量证明文件。
3.0.2 进入施工现场的模架检验项目、检验类别及检验数量应符合表3.0.2的规定。
【表3.0.2 模架检验项目、检验类别及检验数量】本表规定了进入施工现场的模板、龙骨、背楞、立杆、横杆、斜杆以及支撑架和脚手架相关构配件的检验项目、检验类别及检验数量要求：
（1）模板（单块）进行外观检验时，检验类别为自检，检验数量为全数检验；
（2）模板（单块）进行长度、宽度、厚度、对角线差、直线度、平整度检验时，检验类别为抽检，检验数量按本标准第3.0.3条执行；
（3）模板（单块）进行刚度和承载力检验时，检验类别为送检，检验数量为同厂家、同类型各一块；
（4）龙骨、背楞进行外观检验时，检验类别为自检，检验数量为全数检验；
（5）龙骨、背楞进行直线度、截面尺寸差检验时，检验类别为抽检，检验数量按本标准第3.0.3条执行；
（6）龙骨、背楞进行刚度、残余变形、承载力检验时，检验类别为送检，检验数量为同厂家、同类型、同规格各一组；
（7）立杆、横杆、斜杆进行外观检验时，检验类别为自检，检验数量为全数检验；
（8）立杆、横杆、斜杆进行外径、壁厚、直线度检验时，检验类别为抽检，检验数量按本标准第3.0.3条执行；
（9）立杆抗压承载力、横杆抗弯承载力、杆件抗拉承载力进行检验时，检验类别为送检，检验数量为同厂家、同类型、同规格各一组；
（10）支撑架和脚手架的可调托座、可调底座、固定底座进行外观检验时，检验类别为自检，检验数量为全数检验；
（11）支撑架和脚手架的立杆内径与螺杆外径总间隙、调节螺母厚度及螺距、托座和底座承力板厚度、托座和底座承力板平直度、螺杆与托座和底座承力板焊缝厚度、截面尺寸、平直度进行检验时，检验类别为抽检，检验数量按本标准第3.0.3条执行；
（12）支撑架和脚手架的抗压承载力进行检验时，检验类别为送检，检验数量为同厂家、同类型、同规格各一组。</t>
    <phoneticPr fontId="1" type="noConversion"/>
  </si>
  <si>
    <t>2/4</t>
    <phoneticPr fontId="1" type="noConversion"/>
  </si>
  <si>
    <t>5/5</t>
    <phoneticPr fontId="1" type="noConversion"/>
  </si>
  <si>
    <t>续表3.0.2
【表3.0.2 模架检验项目、检验类别及检验数量】本表规定了支撑架和脚手架节点、连墙件、附墙支座、典型单元以及动模板装置和动脚手架相关构配件的检验项目、检验类别及检验数量要求：
（1）支撑架和脚手架的可调节点进行抗滑性能、抗破坏性能、抗扭性能检验时，检验类别为送检，检验数量为同厂家、同类型、同规格各一组；
（2）支撑架和脚手架的固定节点进行抗拉、抗压、抗弯、抗剪承载力检验时，检验类别为送检，检验数量为同厂家、同类型、同规格各一组；
（3）支撑架和脚手架的连墙件进行抗拉承载力检验时，检验类别为送检，检验数量为同厂家、同类型、同规格各一组；
（4）支撑架和脚手架的附墙支座进行抗压承载力检验时，检验类别为送检，检验数量为同厂家、同类型、同规格各一组；
（5）支撑架和脚手架的典型单元进行设计承载力检验时，检验类别为送检，检验数量为一榀；
（6）支撑架和脚手架的典型单元进行极限承载力检验时，检验类别为送检，检验数量为一榀；
（7）动模板装置和动脚手架的主构件、组件、配件、控制装置进行外观检验时，检验类别为自检，检验数量为全数检验；
（8）动模板装置和动脚手架的导轨进行截面尺寸、直线度检验时，检验类别为抽检，检验数量按本标准第3.0.3条执行；
（9）动模板装置和动脚手架的其他主构件、组件进行直线度、有连接要求的连接尺寸、无连接要求的外形尺寸检验时，检验类别为抽检，检验数量按本标准第3.0.3条执行；
（10）动模板装置和动脚手架的附着固定螺栓进行力学性能检验时，检验类别为送检，检验数量为同厂家、同类型、同规格各一组；
（11）动模板装置和动脚手架的附墙支座、防坠装置进行设计承载力检验时，检验类别为送检，检验数量为同厂家、同类型、同规格各一组。</t>
    <phoneticPr fontId="1" type="noConversion"/>
  </si>
  <si>
    <t>6/6</t>
    <phoneticPr fontId="1" type="noConversion"/>
  </si>
  <si>
    <t>3.0.3 模架检验的抽样方法及判定应符合下列规定：
1 抽样样本应以同厂家、同类型产品的构配件作为该类构配件的总容量，并应在施工现场按检验批容量随机抽取。
2 模架检验的抽样检验批容量和样本最小容量应符合表3.0.3-1的规定。
【表3.0.3-1 模架检验的抽样检验批容量和样本最小容量】本表规定了不同检验批容量条件下模架检验所需的样本最小容量：
（1）当检验批容量为2～8件时，样本最小容量为2件；
（2）当检验批容量为9～15件时，样本最小容量为2件；
（3）当检验批容量为16～25件时，样本最小容量为3件；
（4）当检验批容量为26～50件时，样本最小容量为5件。
续表3.0.3-1
【表3.0.3-1 模架检验的抽样检验批容量和样本最小容量】本表规定了较大检验批容量条件下模架检验所需的样本最小容量：
（1）当检验批容量为51～90件时，样本最小容量为5件；
（2）当检验批容量为91～150件时，样本最小容量为8件；
（3）当检验批容量为151～280件时，样本最小容量为13件；
（4）当检验批容量为281～500件时，样本最小容量为20件；
（5）当检验批容量为501～1200件时，样本最小容量为32件；
（6）当检验批容量为1201～3200件时，样本最小容量为50件；
（7）当检验批容量为3201～10000件时，样本最小容量为80件；
（8）当检验批容量为10001～35000件时，样本最小容量为125件；
（9）当检验批容量为35001～150000件时，样本最小容量为200件；
（10）当检验批容量为150001～500000件时，样本最小容量为315件；
（11）当检验批容量大于500000件时，样本最小容量为500件。</t>
    <phoneticPr fontId="1" type="noConversion"/>
  </si>
  <si>
    <t>3 模架抽样检验批合格判定应符合表3.0.3-2的规定。
【表3.0.3-2 抽样检验的判定】本表规定了不同样本容量条件下抽样检验的合格判定数和不合格判定数：
（1）当样本容量为2～5件时，合格判定数为0件，不合格判定数为1件；
（2）当样本容量为8～13件时，合格判定数为1件，不合格判定数为2件；
（3）当样本容量为20件时，合格判定数为2件，不合格判定数为3件；
（4）当样本容量为32件时，合格判定数为3件，不合格判定数为4件；
（5）当样本容量为50件时，合格判定数为5件，不合格判定数为6件；
（6）当样本容量为80件时，合格判定数为7件，不合格判定数为8件；
（7）当样本容量为125件时，合格判定数为10件，不合格判定数为11件；
（8）当样本容量为200件时，合格判定数为14件，不合格判定数为15件；
（9）当样本容量为315件时，合格判定数为21件，不合格判定数为22件。</t>
    <phoneticPr fontId="1" type="noConversion"/>
  </si>
  <si>
    <t>4 模架抽样检验项目中若存在不合格项，应判定该样本不合格。
3.0.4 模架在下列情况下，宜选取典型单元进行检验：
1 动模板和动脚手架的测控装置检验；
2 承受重荷载的模架和使用、受力条件复杂模架的力学性能检验；
3 模架工程安全专项施工方案论证有要求时的力学性能检验。
3.0.5 模板典型单元检验的样本应符合下列规定：
1 根据专项施工方案，应选取承受具有代表性或特殊性荷载的典型单元板块。
2 样本检验应按相邻模板的影响和实际受力条件进行。
3.0.6 模架检验样本应符合下列规定：
1 模架检验样本应从施工现场的实物中抽取或截取；
2 模架检验样本表面不应有裂缝、凹陷、锈蚀等严重缺陷；
3 动模板和动脚手架测控装置检验样本应为用于施工现场的实物。
3.0.7 模架力学性能检验应符合下列规定：
1 力学性能检验的检测单位应具备相应的检测检验资质；
2 在模架构配件力学性能检验前，均应进行外观和规格尺寸检验；
3 模架典型单元力学性能检验应满足常规使用条件的要求，在特殊情况下，应根据使用条件或模架专项施工方案进行检验。
3.0.8 模架力学性能检验的样本支承应符合下列规定：
1 对各种构配件和典型单元进行检验时，样本的支承方式应符合其实际受力状态；
2 各种构配件和典型单元支承的中心线位置应符合样本实际受力要求，样本摆放应平直；
3 样本独立摆放时，其中心线与加载点应重合，并应与提供反力的支承面垂直；
4 两端简支的支承应一端采用铰支承，另一端采用滚动支承，其中，铰支承可采用角钢、半圆型钢或焊于钢板上的圆钢，滚动支撑可采用圆钢；
5 四角简支的支承应保证样本在各支承处能够自由转动。
3.0.9 样本及加载设备吊装、运输、安装过程的安全措施和劳动保护应符合国家现行有关标准的规定，且检验时的安全防护应符合下列规定：
1 加载设备、支承、支墩等应有足够的刚度和承载力安全储备；
2 对可能发生倾覆的检验项目应设置侧向防护支承；
3 检验过程中应采取保护操作人员和设备的安全措施。</t>
    <phoneticPr fontId="1" type="noConversion"/>
  </si>
  <si>
    <t>4 模板检验及试验
4.1 判定标准
4.1.1 模板、背楞和龙骨的外观应无磕碰、划痕、损伤和污染等影响使用的缺陷。
4.1.2 模板、背楞和龙骨的规格尺寸允许偏差应符合表4.1.2的规定。预拼装模板的整体外观和再装应符合现行国家标准《混凝土结构工程施工质量验收规范》GB 50204的有关规定。
【表4.1.2 模板、背楞和龙骨的规格尺寸允许偏差】本表规定了模板（单块）、背楞和龙骨在不同检验项目下的规格尺寸允许偏差要求：
（1）模板（单块）在长度检验条件下，允许偏差为0～-2 mm；
（2）模板（单块）在宽度检验条件下，允许偏差为0～-1.5 mm；
（3）模板（单块）在厚度检验条件下，允许偏差为±0.5 mm；
（4）模板（单块）在对角线差检验条件下，允许偏差为2.0 mm；
（5）模板（单块）在直线度检验条件下，允许偏差为2.0 mm；
（6）模板（单块）在平整度检验条件下，允许偏差为2.0 mm；
（7）背楞、龙骨在直线度检验条件下，允许偏差为2.0 mm；
（8）背楞、龙骨在截面尺寸差检验条件下，允许偏差为+1.0、0 mm。
注：1 截面尺寸差指实测直径、壁厚、边长与工程应用设计尺寸之差；2 允许偏差为实测值减去工程应用设计值的允许范围。
4.1.3 模板、背楞和龙骨刚度检验应符合下式要求：
a0m≤[am]（4.1.3）
式中：a0m——模板、背楞和龙骨在荷载标准组合效应值作用下的挠度实测值（mm）；
[am]——模板、背楞和龙骨的挠度限值（mm），对于结构表面外露的样本取其计算跨度的1/400，对于结构表面不外露的样本取其计算跨度的1/250。结构表面隐蔽的样本取其计算跨度的1/250。
4.1.4 模板、背楞和龙骨承载力检验应符合下式要求：
Sm≤Pm（4.1.4）
式中：Sm——模板、背楞和龙骨按荷载基本组合计算的效应设计值；可按本标准第5.1.11条的规定进行计算；
Pm——模板、背楞和龙骨承载力的检验荷载实测值产生的荷载效应。
4.1.5 配件力学性能检验项目及判定标准应符合下列规定：
1 销板或销轴的承载力检验应能满足使用要求；
2 对拉螺栓的承载力检验应能满足工程应用设计值要求。
4.1.6 承载力检验时，在检验荷载作用下，样本未发生破坏应为合格；刚度检验时，在检验荷载作用下，样本挠度实测值不应超过本标准第4.1.3条的规定；检验荷载卸载后样本的残余变形实测值不应超过0.2mm。</t>
    <phoneticPr fontId="1" type="noConversion"/>
  </si>
  <si>
    <t>9/10</t>
    <phoneticPr fontId="1" type="noConversion"/>
  </si>
  <si>
    <t>4.2 检验及试验方法
4.2.1 模板、背楞和龙骨的外观和规格尺寸检验方法应符合表4.2.1的规定。
【表4.2.1 模板、背楞和龙骨的外观和规格尺寸检验方法】本表规定了模板构配件、模板、背楞和龙骨在不同检验项目条件下的试验方法及所用检验工具：
（1）模板构配件进行外观检验时，试验方法为目测，检验工具不作要求；
（2）模板进行长度、宽度检验时，试验方法为距模板边肋100mm处分别测量模板长度和宽度，各测2点，取2点平均值，检验工具为钢板尺或钢卷尺；
（3）模板进行厚度检验时，试验方法为分别测量模板两个方向的边肋中点处，取4点的平均值，检验工具为游标卡尺；
（4）模板进行对角线差检验时，试验方法为测量模板两对角线的长度，得出两长度之差，检验工具为钢板尺或钢卷尺；
（5）模板进行直线度检验时，试验方法为沿模板各边测量，取其最大值，检验工具为2m靠尺及塞尺；
（6）模板进行平整度检验时，试验方法为测量模板表面和模板拼装后表面的不平整度，取最大值，检验工具为2m靠尺及塞尺。
续表4.2.1
【表4.2.1 模板、背楞和龙骨的外观和规格尺寸检验方法】本表规定了背楞、龙骨以及预拼装后的整体外观和吊装状态下的检验项目、试验方法及检验工具：
（1）背楞、龙骨进行直线度检验时，沿背楞及龙骨各条边测量，取其最大值，检验工具为2m靠尺及塞尺；
（2）背楞、龙骨进行截面尺寸检验时，测量背楞及龙骨两端截面尺寸，得出两端截面尺寸之差，检验工具为游标卡尺；
（3）预拼装后的整体外观和吊装状态下进行拼接缝隙检验时，沿两块模板拼接缝测量3点，取其最大值，检验工具为塞尺；
（4）预拼装后的整体外观和吊装状态下进行相邻板面高低差检验时，沿两块模板拼接缝处板面测量3点，取其最大值，检验工具为游标卡尺；
（5）预拼装后的整体外观和吊装状态下进行平整度检验时，跨两块模板拼接缝测量3点，取其最大值，检验工具为2m靠尺及塞尺。</t>
    <phoneticPr fontId="1" type="noConversion"/>
  </si>
  <si>
    <t>4.2.2 模板、背楞和龙骨的刚度、残余变形和承载力检验应符合下列规定：
1 可采用4个球铰模拟4点支承，或采用滚轴和三角铰模拟两端支承；加载方法可采用千斤顶加载分配梁、堆载和吊挂荷载模拟均布荷载；
【图4.2.2-1 4个球铰模拟4点支承】本示意图说明了模板试验中采用4个球铰在试件底部形成四点简支的结构布置关系，通过球铰支承使试件在加载过程中能够自由转动，上部按均布加载方式布置加载点，并在规定位置设置位移测点，用于测量试件在四点支承条件下的挠度响应。
【图4.2.2-2 滚轴和三角铰模拟两端支承】本示意图说明了模板试验中采用滚轴支承与三角铰支承分别布置在试件两端，形成一端可转动、一端可滚动的简支受力体系，试件上表面按均布加载方式布置加载点，并在规定位置设置位移测点，用于测量试件在两端简支条件下的挠度变化。
2 面板和模板挠度可通过所设置千分表读数计算得到，计算方法应符合表4.2.2的规定。
【图4.2.2-2 滚轴和三角铰模拟两端支承】本示意图说明了模板试验中采用滚轴和三角铰形式对试件两端进行简支模拟的支承布置方式，明确了试件在长度方向两端分别设置可转动支承以形成近似铰支与滚动支承的受力状态，试件上表面按规定布置多个测点，用于在加载过程中测量不同位置的挠度变化，以反映试件在简支受力条件下的整体变形特性。
【表4.2.2 面板和模板挠度计算方法】本表规定了不同支承方式条件下面板和模板挠度的计算方法：
（1）当采用4个球铰模拟4点支承，且检验位置为面板时，挠度计算方法为a1－(a2＋a3)/2；
（2）当采用4个球铰模拟4点支承，且检验位置为模板时，挠度计算方法为(a2＋a3)/2－(a4＋a5＋a6＋a7)/4；
（3）当采用滚轴和三角铰模拟两端支承，且检验位置为面板时，挠度计算方法为a1－(a2＋a3)/2；
（4）当采用滚轴和三角铰模拟两端支承，且检验位置为模板时，挠度计算方法为(a2＋a3)/2－(a4＋a5)/2。
注：千分表1测出的挠度值为a1，千分表2测出的挠度值为a2，以此类推。</t>
    <phoneticPr fontId="1" type="noConversion"/>
  </si>
  <si>
    <t>4.2.3 模板、背楞和龙骨的刚度、残余变形及承载力试验方法应符合下列规定：
1 加载设备和检验仪器仪表的量程应根据检验荷载值和样品可能产生的挠度确定；
2 检验的加载值和样品支承方式应根据模板工程实际受力情况确定，其中竖向构件的模板加载时宜水平放置；
3 检验仪表应根据检验方案布置，并应独立于样本；
4 正式检验前应预加1级荷载，各检验装置及仪器仪表应正常工作，卸载后应静置5min后再进行正式检验；
5 检验时，荷载应分6级～10级加载至承载力检验荷载，每级加载值不宜超过设计荷载的20%，每级加载后停30s读取挠度变形值；加载和卸载应防止扰动仪表，加载精度应控制为0.05kN。
6 每级加载的荷载和挠度读数均应记录，刚度检验应取跨中挠度与支座位移平均值之差作为样本挠度实测值，精确至0.01mm；
7 样本检验的残余变形值应在刚度检验完成并卸载静置30min后读取数据。
4.2.4 模板典型单元、背楞和龙骨的刚度、残余变形、承载力检验的实测值应按下列方法确定：
1 当检验荷载加载至荷载标准组合效应值时，读取的样本挠度值应为刚度检验时挠度实测值，检验荷载完全卸除后读取的挠度值应为在荷载标准组合效应值作用下的残余变形实测值；
2 当检验荷载加载至样本产生破坏时，读取的前一级荷载值应为样本承载力实测值。</t>
    <phoneticPr fontId="1" type="noConversion"/>
  </si>
  <si>
    <t>5 支撑架和脚手架检验及试验
5.1 判定标准
5.1.1 杆件和构配件的外观检查及要求应符合表5.1.1的规定。
【表5.1.1 杆件和构配件外观检查及要求】本表规定了杆件和构配件外观检查的具体要求：
（1）对杆件外观表面进行检查时，不得存在裂纹、凹陷、锈蚀、变形，端面应平整无斜口和毛刺，不得对接焊；
（2）对构配件外观表面进行检查时，不得存在裂纹、凹陷、锈蚀、变形，铸件表面应光滑，不得有砂眼、缩孔、结疤和浇口残余，冲压件表面不得存在毛刺和氧化皮。
5.1.2 杆件和构配件的规格尺寸允许偏差及规格应符合表5.1.2-1和表5.1.2-2的规定。
【表5.1.2-1 杆件和构配件的规格尺寸允许偏差】本表规定了立杆、横杆、斜杆以及可调托座、可调底座、固定底座在不同检验项目下的规格尺寸允许偏差：
（1）立杆、横杆、斜杆在外径检验条件下，允许偏差为±0.3mm；
（2）立杆、横杆、斜杆在壁厚检验条件下，允许偏差为±0.15mm；
（3）立杆、横杆、斜杆在直线度检验条件下，允许偏差为≤1.5L/1000；
（4）可调托座、可调底座、固定底座在立杆内径与螺杆外径总间隙检验条件下，允许偏差为≤4.0mm；
（5）可调托座、可调底座、固定底座在截面尺寸检验条件下，允许偏差为±0.1mm；
（6）可调托座、可调底座、固定底座在托座、底座杆件平直度检验条件下，允许偏差为±0.2mm。
注：允许偏差为设计值与实测值的差值。
【表5.1.2-2 杆件和构配件的规格】本表规定了可调托座、可调底座、固定底座在不同检验项目下的规格要求：
（1）在调节螺母厚度及螺距检验条件下，调节螺母厚度应不小于30mm，螺距应不小于5mm；
（2）在托座和底座承力板厚度检验条件下，托座和底座承力板厚度应不小于5mm；
（3）在托座和底座承力板平直度检验条件下，托座和底座承力板平直度应不大于1.0mm；
（4）在螺杆与托座和底座承力板焊缝厚度检验条件下，焊缝厚度应不小于6.0mm。</t>
    <phoneticPr fontId="1" type="noConversion"/>
  </si>
  <si>
    <t>5.1.3 杆件和构配件力学性能检验及判定应符合表5.1.3的规定。
【表5.1.3 杆件和构配件力学性能检验及判定】本表规定了不同杆件和构配件的力学性能检验项目及其判定标准：
（1）立杆进行抗压承载力检验时，抗压承载力不低于稳定性计算值；
（2）横杆进行抗弯承载力检验时，抗弯承载力不低于抗弯承载力计算值；
（3）杆件进行抗拉承载力检验时，抗拉承载力不低于杆件强度计算值；
（4）托座和底座进行抗压承载力检验时，抗压承载力不小于40kN；
（5）可调节点进行抗滑性能检验时，当P＝10kN时，节点滑移量不大于0.5mm；
（6）可调节点进行抗破坏性能检验时，当P＝25kN时，各部位不应破坏；
（7）可调节点进行抗扭性能检验时，扭力矩为900N·m时，位移不大于70mm；
（8）固定节点进行抗拉、抗压、抗弯、抗剪承载力检验时，各项承载力不低于设计值；
（9）连墙件进行抗拉承载力检验时，抗拉承载力不低于设计值；
（10）附墙支座进行抗压承载力检验时，抗压承载力不低于设计值。
5.1.4 支撑架典型单元承载力检验的架体应符合下列规定：
1 带有斜杆的格构式支撑架应取4根直接承受检验荷载的立杆及相应横杆和斜杆搭设成典型单元样本，架体高度不应小于3步，高宽比不宜大于3，且每根立杆上至少应有1个对接接长节点；
2 不带斜杆和剪刀撑的支撑架宜取16根立杆组成矩形四行四列的九格典型单元样本，中间格的4根立杆承受检验荷载，其高度不应小于3步；
3 单根独立支撑架应取实际使用高度。</t>
    <phoneticPr fontId="1" type="noConversion"/>
  </si>
  <si>
    <t>15/15</t>
    <phoneticPr fontId="1" type="noConversion"/>
  </si>
  <si>
    <t>5.1.5 无斜杆和带有斜杆的脚手架典型单元承载力检验的架体，宜取8根立杆及相应杆件组成两排三跨检验样本，中间格的4根立杆承受检验荷载，架体高度不应小于5m，高宽比不宜大于3。
5.1.6 典型单元承载力现场检验的架体应符合下列规定：
1 检验样本应根据专项施工方案选取，其体型和承受的荷载应具有代表性或特殊性；
2 样本检验应按相邻架体的边界约束影响和实际受力条件进行。
5.1.7 支撑架、脚手架典型单元应进行设计承载力检验和极限承载力检验，现场宜进行设计承载力检验。
5.1.8 支撑架、脚手架典型单元设计承载力检验应符合下式要求：
S≤0.9P（5.1.8）
式中：S——支撑架、脚手架典型单元按荷载基本组合计算的效应设计值；
P——支撑架、脚手架典型单元的检验荷载实测值产生的荷载效应。
5.1.9 支撑架、脚手架典型单元极限承载力检验应符合下式要求：
S≤0.5P（5.1.9）
5.1.10 支撑架、脚手架典型单元承载力应符合下式要求：
γ0S≤R/γR（5.1.10）
式中：γ0——结构重要性系数；
R——支撑架、脚手架典型单元的承载力设计值；
γR——承载力设计值调整系数，根据支撑架、脚手架典型单元重复使用情况取用，不小于1.0。
5.1.11 支撑架和脚手架检验时，荷载应按现行国家标准《混凝土结构工程施工规范》GB 50666和国家现行有关脚手架标准取值，支撑架、脚手架组合的荷载基本组合的效应设计值，可按下式计算：
S＝1.35a∑SGk＋1.4ψcj∑SQk（5.1.11）
式中：SGk——第i个永久荷载标准值产生的效应值；
SQk——第j个可变荷载标准值产生的效应值；
α——支撑架、脚手架典型单元的类型系数；
ψcj——第j个可变荷载的组合值系数。</t>
    <phoneticPr fontId="1" type="noConversion"/>
  </si>
  <si>
    <t>15/17</t>
    <phoneticPr fontId="1" type="noConversion"/>
  </si>
  <si>
    <t>5.2 检验及试验方法
5.2.1 杆件和构配件的外观检查和规格尺寸检验方法应符合表5.2.1的规定。
【表5.2.1 杆件、构配件的外观检查和规格尺寸检验方法】本表规定了杆件、构配件在不同检验项目条件下的试验方法及检验工具：
（1）杆件、构配件进行外观检验时，试验方法为目测，检验工具不作要求；
（2）立杆、横杆、斜杆进行外径、壁厚检验时，试验方法为分别测量杆件两端截面，取较小值，检验工具为游标卡尺；
（3）立杆、横杆、斜杆进行直线度检验时，试验方法为沿杆件长度测量3点，取最大值，检验工具为2m靠尺及塞尺；
（4）立杆内径与螺杆外径总间隙检验时，试验方法为对立杆内径和螺杆外径各测3点，取最大间隙值，检验工具为游标卡尺；
（5）调节螺母厚度及螺距检验时，试验方法为调节螺母厚度测量3点，取较小值，检验工具为游标卡尺；
（6）托座和底座承力板厚度检验时，试验方法为测量3点，取平均值，检验工具为游标卡尺；
（7）托座和底座承力板平直度检验时，试验方法为测量3点，取较大值，检验工具为直角靠尺及塞尺；
（8）螺杆与托座和底座承力板焊缝厚度检验时，试验方法为测量3点，取较小值，检验工具为游标卡尺；
（9）截面尺寸检验时，试验方法为测量3点，取较小值，检验工具为游标卡尺；
（10）平直度检验时，试验方法为沿杆件长度测量3点，取较大值，检验工具为2m靠尺及塞尺。</t>
    <phoneticPr fontId="1" type="noConversion"/>
  </si>
  <si>
    <t>17/17</t>
    <phoneticPr fontId="1" type="noConversion"/>
  </si>
  <si>
    <t>5.2.2 支撑架和脚手架的杆件材料强度、构配件力学性能、典型单元承载力检验应符合下列规定：
1 杆件材料强度和构配件力学性能应采用材料试验机检验，典型单元承载力应采用由反力架、分配梁、千斤顶组成的检验装置进行检验；
2 检验装置应具有足够的刚度和强度，材料试验机和检验仪器仪表的量程和精度应能满足检验样本产生大变形的要求；
3 检验仪表应根据检验方案布置，并应独立于样本；
4 检验前应根据样本的设计强度、力学性能和承载力制定分级加载程序；加载达到样本设计强度和承载力的60%或正常使用检验荷载后，每级加载值不宜超过样本设计强度或承载力的10%；达到样本设计强度和承载力的100%后，每级加载值不宜超过样本设计强度或承载力的5%；
5 正式检验前应预加1级荷载，卸载后应静置5min后方可进行正式检验；
6 检验时，每级加载后应保持足够的持荷静止时间，并应读取和记录检验数据，检查样本的屈服、屈曲和断裂现象；当进行典型单元的正常使用极限状态检验时，加载到正常使用检验荷载后应持荷1h，随后分级完全卸载，静置30min后读取样本的残余变形数据；当进行典型单元的极限承载力检验时，应先分级加载到样本的设计承载力检验荷载，再分级加载直至样本破坏。</t>
    <phoneticPr fontId="1" type="noConversion"/>
  </si>
  <si>
    <t>17/18</t>
    <phoneticPr fontId="1" type="noConversion"/>
  </si>
  <si>
    <t>5.2.3 支撑架和脚手架的杆件材料强度、构配件力学性能、典型单元承载力试验方法应符合表5.2.3-1～表5.2.3-4的规定。
【表5.2.3-1 杆件强度和极限承载力试验方法】本表规定了立杆抗压试验的加载方法要求：
（1）进行立杆抗压检验时，加载速度不宜超过100N/s，每10kN应持荷5min。
续表5.2.3-1
【表5.2.3-1 杆件强度和极限承载力试验方法】本表规定了横杆和杆件在不同受力状态下的试验加载方法：
（1）横杆进行抗弯试验时，加载方式为三等分跨距对称加载，加载速度不宜超过50N/s，每10kN应持荷5min；
（2）杆件进行抗拉试验时，加载方式为轴向拉伸加载，加载速度不宜超过300N/s，每20kN应持荷5min。</t>
    <phoneticPr fontId="1" type="noConversion"/>
  </si>
  <si>
    <t>18/19</t>
    <phoneticPr fontId="1" type="noConversion"/>
  </si>
  <si>
    <t>【表5.2.3-2 构配件承载力试验方法】本表规定了节点构配件在不同受力工况下的承载力试验加载方法：
（1）节点进行抗拉承载力试验时，加载方式为对称轴向拉力加载，加载速度不宜超过50N/s，每10kN应持荷5min；
（2）节点进行抗压承载力试验时，加载方式为轴向压力加载，加载速度不宜超过50N/s，每10kN应持荷5min；
（3）节点进行抗剪承载力试验时，加载方式为竖向剪力加载，加载速度不宜超过100N/s，每10kN应持荷5min；
（4）节点进行抗弯承载力试验时，加载方式为对称弯矩加载，加载速度不宜超过10N/s，每0.5kN应持荷5min。
续表5.2.3-2
【表5.2.3-2 构配件承载力试验方法】本表规定了节点抗扭以及托座和底座抗压承载力的试验加载方法：
（1）仅用于可调节点的节点抗扭承载力检验时，加载速度不宜超过10N/s，每0.5kN应持荷5min；
（2）托座和底座进行抗压承载力检验时，加载速度不宜超过50N/s，每10kN应持荷5min。
注：当工程施工中对支撑架和脚手架的节点有抗弯或抗扭特殊要求时，可进行节点抗弯或抗扭承载力检验。
【表5.2.3-3 组架和典型单元承载力试验方法】本表规定了自带斜杆典型单元承载力检验的加载方法：
（1）进行自带斜杆典型单元承载力检验时，加载速度不宜超过300N/s，每50kN应持荷5min。
续表5.2.3-3
【表5.2.3-3 组架和典型单元承载力试验方法】本表规定了无自带斜杆典型单元承载力检验的加载方法：
（1）进行无自带斜杆典型单元承载力检验时，加载速度不宜超过300N/s，每50kN应持荷5min。
注：斜杆布置等构造应与实际搭设方案相同。</t>
    <phoneticPr fontId="1" type="noConversion"/>
  </si>
  <si>
    <t>【表5.2.3-4 典型单元力学性能现场试验方法】本表规定了支撑架典型单元力学性能现场检验的加载方式和加载方法：
（1）采用重物堆载或自加载的方式进行检验；
（2）当采用重物堆载方式进行检验时，单件重物质量不宜超过25kg，重物的堆放位置应与架体实际受力状态相符；
（3）加载应分级进行，每50kN应持荷5min。
续表5.2.3-4
【表5.2.3-4 典型单元力学性能现场试验方法】本表规定了支撑架和脚手架典型单元力学性能现场检验的加载方式和加载方法：
（1）对支撑架典型单元进行力学性能现场检验时，应采用重物堆载或自加载的方式进行加载；
（2）对脚手架典型单元进行力学性能现场检验时，应采用重物堆载或自加载的方式进行加载；
（3）当采用重物堆载方式进行现场检验时，单件重物质量不应超过25kg，重物的堆放位置应与架体实际受力状态相符；
（4）现场检验加载应分级进行，每级加载至50kN时应持荷5min。
【图5.2.3-4 典型单元力学性能现场试验加载布置】本示意图说明了支撑架和脚手架典型单元在进行力学性能现场试验时的整体结构布置关系和加载区域位置，明确了立杆、横杆、斜杆、托座、底座及剪力加载装置、分配梁在架体中的布置方式，加载区域设置在典型单元中部，并通过分配梁将重物荷载均匀传递至架体，使架体在现场条件下形成与实际使用工况一致的受力状态。</t>
    <phoneticPr fontId="1" type="noConversion"/>
  </si>
  <si>
    <t>6 动模板装置和动脚手架检验及试验
6.1 判定标准
6.1.1 进入施工现场的动模板装置和动脚手架应有完备的设计文件，构配件的规格型号应与方案设计一致。
6.1.2 动模板装置和动脚手架的外观检验应符合表6.1.2的规定。
【表6.1.2 动模板装置和动脚手架的外观检验项目及要求】本表规定了动模板装置和动脚手架各类构件的外观检验项目及要求：
（1）主构件进行外观检验时，原材无裂纹、严重锈蚀和明显变形，焊缝无裂纹、漏焊、未焊满缺陷；
（2）组件进行外观检验时，原材无裂纹、严重锈蚀和明显变形，焊缝无裂纹、漏焊、未焊满缺陷；
（3）配件进行外观检验时，原材无裂纹、严重锈蚀和明显变形，焊缝无裂纹，螺杆和螺母的螺孔无变形、锈蚀；
（4）控制装置进行外观检验时，外壳无破损，开关灵活，电缆线无破损。
6.1.3 动模板装置和动脚手架的规格型号检验应符合表6.1.3的规定。
【表6.1.3 动模板装置和动脚手架的规格型号检验】本表规定了导轨及其他主构件、组件在不同检验项目下的规格尺寸允许偏差：
（1）导轨在截面尺寸检验条件下，允许偏差为±2mm；
（2）导轨在直线度检验条件下，允许偏差为≤1.5L/1000，且≤5mm；
（3）其他主构件、组件在直线度检验条件下，允许偏差为≤2L/1000，且≤6mm；
（4）其他主构件、组件在有连接要求的连接尺寸检验条件下，允许偏差为±3mm；
（5）其他主构件、组件在无连接要求的外形尺寸检验条件下，允许偏差为±5mm。
注：L为被检构件的长度。
6.1.4 附着固定螺栓力学性能检验应符合下列规定：
1 附着固定螺栓应进行抗拉和抗剪试验；
2 抗剪试验应对其设计受剪部位进行试验。</t>
    <phoneticPr fontId="1" type="noConversion"/>
  </si>
  <si>
    <t>6.1.5 附着固定螺栓力学性能试验结果应满足下列公式要求：
FN≥Anftk（6.1.5-1）
FV≥A0fvk（6.1.5-2）
式中：FN——附着固定螺栓最大轴向拉力实测值（N）；
FV——附着固定螺栓最大剪力实测值（N）；
An——附着固定螺栓净截面积（mm²）；
A0——附着固定螺栓公称截面积（mm²）；
ftk——附着固定螺栓抗拉强度标准值（N/mm²）；
fvk——附着固定螺栓抗剪强度标准值（N/mm²）。
6.1.6 动模板装置和动脚手架主构件力学性能检验及判定应符合表6.1.6的规定。
【表6.1.6 动模板装置和动脚手架主构件力学性能检验及判定】本表规定了动模板装置和动脚手架主构件在设计承载力检验条件下的判定要求：
（1）附墙支座进行设计承载力检验时，在1.4倍承载力设计值作用下不发生破坏；
（2）防坠装置进行设计承载力检验时，在1.4倍承载力设计值作用下不发生破坏。
6.1.7 动脚手架和动模板的组架检验应符合下列规定：
1 检验项目应包括应力检验、变形检验、同步性检验、超欠载检验、防坠性能检验；
2 组架检验应在专门搭设的1∶1样架上进行，样架应搭设3跨4机位；
3 应力检验的检验点应根据产品设计书选取附着装置、水平支承杆架、竖向主框架、上下吊点等重要构件确定；
4 变形检验可与应力检验同步进行；
5 防坠性能检验所得到的各机位防坠距离不得大于80mm。
6.1.8 动脚手架和动模板的组架同步性试验结果应满足下列公式要求：
v1≤[v1]（6.1.8-1）
v2≤[v2]（6.1.8-2）
式中：v1——相邻机位检验高差最大值（mm）；
v2——各机位间检验高差最大值（mm）；
[v1]——相邻机位高差允许值（mm），取3.0mm/500mm；
[v2]——各机位间高差允许值（mm），取5.0mm/500mm。
6.1.9 动脚手架和动模板的现场实体检验应符合下列规定：
1 检验项目应包括超欠载检验、升降同步性检验；
2 升降同步性检验应符合本标准第6.1.8条的规定。</t>
    <phoneticPr fontId="1" type="noConversion"/>
  </si>
  <si>
    <t>6.2 检验及试验方法
6.2.1 附着装置检验方法应符合下列规定：
1 附着装置检验取样数量不应少于3件；
2 对承受垂直及水平荷载的附着装置，当水平荷载大于垂直荷载的1/5时，应增加水平加载装置；
3 加载值应按架体型式检验计算书确定；
4 加载标准值应按使用工况设计荷载值确定，加载速度宜控制在1.0kN/s～2.0kN/s；
5 加载宜按下列步骤进行：
1）加载前，应记录位移初始值；
2）加载至50%加载标准值，应静置15min，读取位移值；
3）继续加载至100%加载标准值，应静置15min，读取位移值；
4）继续加载至120%加载标准值，应静置15min，读取位移值。
6 变形值检测宜采用数字式位移计；
7 加载值数据应精确至0.1kN，变形值数据应精确至0.05mm。
6.2.2 防坠装置检验方法应符合下列规定：
1 防坠装置检验取样数量不应少于3件。
2 加载值应按架体型式检验计算书确定。
3 当防坠装置与附着装置集成设计为一体式构件时，防坠装置检验不应重复使用已进行附着装置检验的构件。
4 加载标准值应按坠落工况设计荷载值确定，加载速度宜控制在2.0kN/s～3.0kN/s。
5 加载宜按下列步骤进行：
1）加载前，应记录位移初始值；
2）加载至50%加载标准值，应静置15min，读取位移值；
3）继续加载至100%加载标准值，应静置15min，读取位移值；
4）继续加载至120%加载标准值，应静置15min，读取位移值。
6 变形值检测宜采用数字式位移计。
7 加载值数据应精确至0.1kN，变形值数据应精确至0.05mm。</t>
    <phoneticPr fontId="1" type="noConversion"/>
  </si>
  <si>
    <t>6.2.3 组架检验项目应符合下列规定：
1 组架检验应在专门搭设的1∶1样架上进行，样架应依据该类型模板或脚手架设计合理确定架宽、架高、机位跨距等参数。
2 组架防坠检验应符合下列规定：
1）参与防坠检验的整组机位应全部进行试验；
2）每个机位应加设电动脱钩装置，电动脱钩装置应能保证各机位在同一时间内成功脱钩；
3）进行防坠检验时，组架上不应站人，所有人员应撤离至安全区域。
3 组架防坠检验宜按下列步骤进行：
1）架体载荷应按升降工况布置，并对准备工作进行确认；
2）将架体提升300mm；
3）再将架体下降150mm，停止，记录机位垂直位置初始值。
4）启动脱钩装置，进行防坠试验；
5）测量各机位坠落差。
4 加载值允许误差应为±2%。
6.2.4 现场实体试验方法应符合下列规定：
1 建筑施工用附着式升降作业安全防护平台现场实体检验应根据其产品标准进行；
2 超载欠载检验步骤按本标准第6.2.5条内容执行，检验机位数不应少于3个。</t>
    <phoneticPr fontId="1" type="noConversion"/>
  </si>
  <si>
    <t>6.2.5 升降控制系统检验方法应符合下列规定：
1 升降控制系统同步性试验应采用多机位检验，其机位数不应少于3个；
2 如升降过程中出现异常而导致的停机情况时，应重新进行升降控制系统同步性试验；
3 超欠载检验应符合下列规定：
1）应选取不少于检验最少机位数依次进行超欠载报警检验；
2）超欠载检验宜在检验机位单独装设荷载检验仪器；
3）超载检验宜采用单机位提升制造超载进行检验；
4）欠载检验宜采用单机位下降制造欠载进行检验。
4 超欠载检验应符合下列规定：
1）应调平组架，使控制系统加电进入工作待命状态；
2）应记录检验机位荷载初始值；
3）应使检验机位提升至报警及自动停机，记录停机荷载值；
4）解除报警时，应使检验机位下降至报警及自动停机，记录停机荷载值；
5）应依次按本款第1）项～第4）项规定的步骤进行下一机位超欠载报警检验。
5 升降检测数据值应精确至0.5mm，超欠载荷载检验数据值应精确至0.05kN。</t>
    <phoneticPr fontId="1" type="noConversion"/>
  </si>
  <si>
    <t>27/27</t>
    <phoneticPr fontId="1" type="noConversion"/>
  </si>
  <si>
    <t>19/21</t>
    <phoneticPr fontId="1" type="noConversion"/>
  </si>
  <si>
    <t>21/22</t>
    <phoneticPr fontId="1" type="noConversion"/>
  </si>
  <si>
    <t>23/24</t>
    <phoneticPr fontId="1" type="noConversion"/>
  </si>
  <si>
    <t>24/25</t>
    <phoneticPr fontId="1" type="noConversion"/>
  </si>
  <si>
    <t>25/26</t>
    <phoneticPr fontId="1" type="noConversion"/>
  </si>
  <si>
    <t>26/27</t>
    <phoneticPr fontId="1" type="noConversion"/>
  </si>
  <si>
    <t>1 总则
1.0.1 为规范建筑施工液压升降整体脚手架的应用，统一其技术要求，确保建筑施工安全，制定本标准。
1.0.2 本标准适用于高层、超高层建筑的液压升降整体脚手架的设计、安装、检验、使用和拆卸。
1.0.3 液压升降整体脚手架安全技术除应符合本标准外，尚应符合国家现行有关标准的规定。</t>
    <phoneticPr fontId="1" type="noConversion"/>
  </si>
  <si>
    <t>液压升降整体脚手架安全技术标准</t>
    <phoneticPr fontId="1" type="noConversion"/>
  </si>
  <si>
    <t>2 术语和符号
2.1 术语
2.1.1 液压升降整体脚手架 hydraulic lifting integral scaffold
依靠液压升降装置，附着在建（构）筑物上，实现整体升降的脚手架。
2.1.2 架体 structure of the scaffold2.1.2 架体 脚手架结构
液压升降整体脚手架的承重结构，由架体构架、水平桁架、竖向主框架组成的稳定结构。
2.1.3 竖向主框架 major vertical frame
垂直于建筑物立面，与水平桁架、架体构架和附着支承结构连接，承受和传递竖向和水平荷载的构架。
2.1.4 水平桁架 horizontal truss
承受架体竖向荷载的稳定结构。
2.1.5 架体构架 structure of scaffold body2.1.5 架体构架 脚手架车体结构
采用型钢或钢管杆件搭设的位于相邻两竖向主框架之间和由水平桁架连接支承的作业平台。
2.1.6 附着支承 attached supporting structure2.1.6 附着支承附属支撑结构
附着在建（构）筑物结构上，与竖向主框架连接并将架体固定，承受并传递架体荷载的连接结构。
2.1.7 架体高度 scaffold height
架体最底层横向杆件轴线至架体顶部横向杆件轴线间的距离。
2.1.8 架体宽度 width of the scaffold2.1.8 架体宽度 脚手架宽度
架体内外排立杆轴线之间的水平距离。
2.1.9 架体支承跨度 supporting span of the scaffold2.1.9 架体支承跨度支撑脚手架跨度
两相邻竖向主框架中心轴线之间的水平距离。</t>
    <phoneticPr fontId="1" type="noConversion"/>
  </si>
  <si>
    <t>2.1.10 悬臂高度 cantilever height2.1.10 悬臂高度 悬臂高度
架体最高附着支承点或拉接点以上的架体高度。
2.1.11 悬挑长度 overhang length
竖向主框架中心轴线至水平桁架端部的水平距离。
2.1.12 防倾覆装置 anti-overturning device2.1.12 防倾覆装置 防倾覆装置
防止架体在升降和使用过程中发生倾覆偏离预定位置的装置。
2.1.13 防坠装置 anti-fall device
架体在升降过程中发生意外坠落时的制动装置。
2.1.14 导轨 conduct rail2.1.14 导轨 导轨
附着在附着支承结构或竖向主框架上，引导脚手架上升或下降的轨道。
2.1.15 液压升降装置 hydraulic lifting device
依靠液压动力系统，驱动脚手架升降运动的装置。
2.1.16 制动距离 braking distance
架体从坠落到防坠装置制停的垂直位移。
2.1.17 机位 location of the machine2.1.17 机位 机器的位置
安装液压升降装置的位置。</t>
    <phoneticPr fontId="1" type="noConversion"/>
  </si>
  <si>
    <t>2.2 符号
2.2.1 荷载：
N_t——抗拉承载能力设计值；
N_v——一个螺栓抗剪能力设计值；
P——液压系统工作压力；
S——荷载效应组合的设计值；
S_ck——恒荷载效应的标准值；
S_qk——活荷载效应的标准值；
S_wk——风荷载效应的标准值；
W_k——风荷载标准值；
W_0——基本风压值。
2.2.2 材料、构件设计指标：
A_n——迎风面挡风面积；
A_w——迎风面积；
b——混凝土墙厚度；
d——锚固螺栓直径；
d_0——螺栓计算直径；
F——液压升降装置活塞面积；
f_c——爬升时混凝土龄期试块轴心抗压强度设计值；
f_t——爬升龄期的混凝土同条件试块轴心抗拉强度设计值；
f_tb——螺栓抗拉强度设计值；
f_vb——螺栓抗剪强度设计值；
H_0——混凝土截面有效高度；
N——拉杆或压杆最大轴力设计值；
N_e——提升力额定值；
N_s——提升荷载设计值；
N_t——螺栓所承受的拉力设计值；
N_v——螺栓所承受的剪力设计值；
σ——最大应力；
σ_s——材料屈服强度；
μ_m——离螺栓垫板面积周边H_0/2处的周长。
2.2.3 计算系数：
β_b——螺栓孔混凝土受荷计算系数；
β_1——混凝土局部承压强度提高系数；
β_z——风振系数；
γ_1——附加安全系数；
γ_2——附加荷载不均匀系数；
γ_3——冲击系数；
γ_G——恒荷载分项系数；
γ_q——活荷载分项系数。
μ_s——脚手架风荷载体型系数；
μ_z——风压高度变化系数；
φ——挡风系数。</t>
    <phoneticPr fontId="1" type="noConversion"/>
  </si>
  <si>
    <t>3/5</t>
    <phoneticPr fontId="1" type="noConversion"/>
  </si>
  <si>
    <t>3 基本规定
3.0.1 液压升降整体脚手架架体及附着支承结构强度、刚度和稳定性应符合设计要求，防坠装置应灵敏、制动可靠，防倾覆装置应稳固、安全可靠。
3.0.2 单体工程中使用的液压升降装置和防坠装置性能参数应一致。
3.0.3 安装及操作人员应经过专业培训合格后上岗，作业前应接受安全技术交底。
3.0.4 液压升降整体脚手架施工前应编制专项施工方案，并应进行技术交底。
3.0.5 整体升降脚手架体宜分体在工厂加工，现场拼装。
3.0.6 液压升降整体脚手架应设有防雷装置，施工区域内应设有消防设施。</t>
    <phoneticPr fontId="1" type="noConversion"/>
  </si>
  <si>
    <t>4.0.2 竖向主框架应符合下列规定：
1 竖向主框架应为桁架或门式刚架结构，并应与水平桁架和架体构架构成空间几何不可变体系的稳定结构；
2 竖向主框架内侧应设有导轨或导轮；
3 在竖向主框架的底部之间宜设置水平桁架，其宽度宜与竖向主框架相同，高度不宜小于1.8m。
4.0.3 水平桁架应符合下列规定：
1 水平桁架各杆件轴线应相交于节点上，并应采用节点板构造连接，节点板的厚度不得小于6mm；
2 水平桁架上下弦应采用整根通长杆件，或于跨中设拼接刚性接头，腹杆与上下弦连接应采用焊接或螺栓连接。
4.0.4 附着支承应符合下列规定：
1 竖向主框架部位对应在建筑结构上的连接点，升降工况附着支承设置不应少于2个，使用工况附着支承设置不应少于3个，且附着支承应在一条直线上；
2 在使用工况下，竖向主框架应与附着支承可靠连接并采取防松动措施；
3 在升降工况和使用工况下，附着支承结构上应设有导向和防倾覆的装置；
4 附着支承与建筑物连接应采用锚固螺栓，螺栓拧紧后螺纹端部伸出螺母的轴向尺寸不应少于3倍螺距或10mm，并应采用弹簧垫圈加单螺母或双螺母防松，垫板尺寸不得小于100mm×100mm×10mm；
5 附着支承与建筑物连接处混凝土强度不得小于15MPa。
4.0.5 使用工况下竖向主框架悬臂高度不得大于6m或架体高度的2/5，当升降工况下悬臂高度大于8m时，应进行防倾覆复核计算。
4.0.6 当水平桁架不能连续设置时，局部可采用脚手架杆件连接或采用可伸缩式结构，但其长度不得大于2.0m，且应采取加强措施，其强度和刚度不低于原有的水平桁架。
4.0.7 液压升降整体脚手架不得与物料平台相连接。</t>
    <phoneticPr fontId="1" type="noConversion"/>
  </si>
  <si>
    <t>4 架体结构
4.0.1 架体结构（图4.0.1）的尺寸应符合下列规定：
1 架体结构高度不应大于5倍楼层高；
2 架体全高与支承跨度的乘积不应大于110m²；
3 架体宽度不应大于1.2m；
4 直线布置的架体支承跨度不宜大于7m，折线或曲线布置的架体中心线处架体支承跨度不宜大于5.4m；
5 悬挑长度不应大于跨度的1/2，且不得大于2m。
【图4.0.1 液压升降整体脚手架总装配示意图】本示意图说明了液压升降整体脚手架由竖向主框架、架体构架和水平桁架形成整体承重与作业结构，架体通过附着支承结构与建筑结构连接，设置防坠装置、防倾覆装置及液压升降装置，在导向构件的引导下实现整体同步升降，并依靠附着与防护装置保证升降及使用过程中的稳定性与安全性。\</t>
    <phoneticPr fontId="1" type="noConversion"/>
  </si>
  <si>
    <t>4.0.8 当架体遇到塔机、施工升降机、物料平台等需断开时，断开处应加设栏杆并封闭，开口处应有可靠的防止人员及物料坠落的措施。
4.0.9 设置在架体外立面用于加强平面刚度的斜撑和框架立网，应符合下列规定：
1 使用斜撑时，斜撑的斜杆应与之相交的横向水平杆件或立杆相交处固定连接，固定连接中心至节点的距离不宜大于150mm，斜撑水平夹角应为45°～60°，悬挑端应以竖向主框架为中心设置对称斜拉杆，其水平夹角不应小于45°；
2 使用框架立网时，框架应设置对角支撑，冲孔钢板立网四周固定于单元框架上，冲孔钢板立网框架之间、框架与架体骨架应可靠连接。
4.0.10 架体下列部位应采取可靠的加强构造措施：
1 与附着支承结构的连接处；
2 液压升降装置的设置处；
3 防坠落、防倾覆装置的设置处；
4 吊拉点设置处；
5 平面的转角处；
6 因碰到塔机、施工升降机、物料平台等设施而需断开处；
7 水平桁架悬挑部位。
4.0.11 安全防护措施应符合下列规定：
1 架体外侧有可靠的外防护，外防护应采用安全立网全封闭，密目式立网的网目密度不应低于2000目/100cm²，冲孔式钢板立网孔径不应大于6mm；
2 架体底层脚手板应铺设严密，与建筑物间隙中还应具有可翻起的翻板构造，架体中间层应设一层安全平网。</t>
    <phoneticPr fontId="1" type="noConversion"/>
  </si>
  <si>
    <t>9/9</t>
    <phoneticPr fontId="1" type="noConversion"/>
  </si>
  <si>
    <t>4.0.12 构配件制作应符合下列规定：
1 构配件材质及性能应符合设计要求，并应按规定进行检验；
2 加工构配件的工装、设备及工具应满足构配件制作精度要求，并应定期检查；
3 构配件应有验出厂合格证，并应按安装工艺要求及尺寸精度进行复验，对防倾覆及防坠装置等关键部件应有可追溯性标识；
4 杆件宜采用型钢。
4.0.13 架体构件表面应避免划伤，进行放样、号料操作时应满足安装、制作工艺要求。
4.0.14 架体杆件切割前应清除切割区域表面的铁锈、污油，切割时切口位置应准确、外观应整齐，切割后应清除毛刺、熔渣及飞溅物。
4.0.15 杆件拼装时，其表面中心线偏差不得大于3mm，杆件搭接和对接的错缝或错位不得大于0.5mm，构件之间连接孔中心线位置的误差不得大于2mm。
4.0.16 架体应进行表面防腐处理。</t>
    <phoneticPr fontId="1" type="noConversion"/>
  </si>
  <si>
    <t>5 荷载与设计
5.1 荷载
5.1.1 荷载应由永久荷载和可变荷载组成，永久荷载标准值应符合现行国家标准《建筑结构荷载规范》GB 50009 的规定。
5.1.2 脚手板自重标准值应按表5.1.2取值。
【表5.1.2 脚手板自重标准值】本表规定了不同类型脚手板的自重标准值：
（1）当采用冲压钢脚手板时，脚手板自重标准值为0.3kN/m²；
（2）当采用竹笆板时，脚手板自重标准值为0.1kN/m²；
（3）当采用木脚手板时，脚手板自重标准值为0.35kN/m²；
（4）当采用钢片网时，脚手板自重标准值为0.12～0.16kN/m²。
5.1.3 栏杆、挡脚板和密目安全网自重线荷载标准值应按表5.1.3取值。
【表5.1.3 栏杆、挡脚板和密目安全网自重线荷载标准值】本表规定了栏杆、挡脚板及密目安全网的自重线荷载标准值：
（1）当采用栏杆和冲压钢脚手板挡板时，自重线荷载标准值为0.16kN/m；
（2）当采用栏杆和竹串板脚手板挡板时，自重线荷载标准值为0.17kN/m；
（3）当采用栏杆和木脚手板挡板时，自重线荷载标准值为0.17kN/m；
（4）当采用密目安全网时，自重线荷载标准值为0.02kN/m。
注：
1 当采用冲孔钢（铝）板作围护时，材料自重荷载标准值应按实际板厚、冲孔率、比重计算确定；
2 其他构件按实际自重计取。</t>
    <phoneticPr fontId="1" type="noConversion"/>
  </si>
  <si>
    <t>11/11</t>
    <phoneticPr fontId="1" type="noConversion"/>
  </si>
  <si>
    <t>5.1.4 施工活荷载应根据施工具体情况确定荷载标准值，其值不得小于表5.1.4的规定。
【表5.1.4 施工活荷载标准值】本表规定了不同施工工况下的施工活荷载标准值：
（1）在结构施工使用工况下，按同时作业层数为2层计算，每层活荷载标准值为2.0kN/m²；
（2）在结构施工爬升工况下，按同时作业层数为1层计算，每层活荷载标准值为0.5kN/m²；
（3）在装修施工使用工况下，按同时作业层数为3层计算，每层活荷载标准值为2.0kN/m²；
（4）在装修施工下降工况下，按同时作业层数为1层计算，每层活荷载标准值为0.5kN/m²。
5.1.5 风荷载标准值（W_k）应按下式计算：
W_k＝β_z μ_z μ_s W_0 （5.1.5）
式中：
W_k——风荷载标准值（kN/m²）；
β_z——风振系数，可取1.0；
μ_z——风压高度变化系数，按现行国家标准《建筑结构荷载规范》GB 50009 的规定采用；
μ_s——脚手架风荷载体型系数，按本标准表5.1.6的规定采用；
W_0——基本风压值（kN/m²），使用工况按国家标准《建筑结构荷载规范》GB 50009—2012中N＝10年的规定采用，升降及坠落工况可取0.25kN/m²计算。
5.1.6 脚手架风荷载体型系数应符合表5.1.6的规定。
【表5.1.6 脚手架风荷载体型系数】本表规定了不同背靠建筑物状况下的脚手架风荷载体型系数：
（1）当背靠建筑物状况为全封闭时，脚手架风荷载体型系数μ_s取1.0φ；
（2）当背靠建筑物状况为敞开、框架和开洞墙时，脚手架风荷载体型系数μ_s取1.3φ。
注：
1 φ为挡风系数，应为脚手架挡风面积与迎风面积之比；密目安全网的挡风系数应按0.8计算，冲孔钢板立网的挡风系数应按0.48计算，φ＝1.2A_n/A_w，其中A_n为附着式升降脚手架迎风面挡风面积（m²），A_w为附着式升降脚手架迎风面积（m²）。
2 当采用密目安全网时，取φ＝0.8。</t>
    <phoneticPr fontId="1" type="noConversion"/>
  </si>
  <si>
    <t>13/13</t>
    <phoneticPr fontId="1" type="noConversion"/>
  </si>
  <si>
    <t>5.1.7 液压升降整体脚手架的各受力构件、系统装置应按最不利荷载组合计算，并应符合下列规定：
1 计算构件的强度、稳定性及连接强度时，应采用承载能力极限状态下的荷载组合设计值；承载能力极限状态下荷载设计值组合按下列三种基本组合公式计算，其最不利值的对应组合即为最不利荷载组合：
不考虑风荷载 S＝γ_G S_Gk＋γ_q S_Qk （5.1.7-1）
考虑风荷载 S＝γ_G S_Gk＋0.9（γ_q S_Qk＋γ_w S_Wk） （5.1.7-2）
S＝γ_G S_Gk＋γ_w S_Wk （5.1.7-3）
2 计算构件的变形，应采用正常使用极限状态下的荷载组合标准值。正常使用极限状态下的荷载组合标准值按下列三种基本组合公式计算，其最不利值的对应组合即为最不利荷载组合：
不考虑风荷载 S＝S_Gk＋S_Qk （5.1.7-4）
考虑风荷载 S＝S_Gk＋S_Qk＋S_Wk （5.1.7-5）
S＝S_Gk＋S_Wk （5.1.7-6）
式中：
γ_G——恒荷载分项系数，γ_G＝1.3，当恒载对结构安全有利时γ_G＝0.9；
γ_q——活荷载分项系数，γ_q＝1.5；
S_Gk——恒荷载效应的标准值（kN/m²）；
S_Qk——活荷载效应的标准值（kN/m²）；
S_Wk——风荷载效应的标准值（kN/m²）。
5.1.8 架体立杆局部稳定验算时，设计荷载值应乘以附加安全系数γ_1，其值应为1.43。
5.1.9 液压升降整体脚手架上的吊具、索具，其标准荷载值应乘以附加荷载不均匀系数γ_2，其值应为1.3；升降、坠落工况时，其标准荷载值应乘以冲击系数γ_3，其值应为2.0。
5.1.10 液压升降整体脚手架上的液压升降装置，其标准荷载值应乘以附加荷载不均匀系数γ_2，其值应为1.3；升降、坠落工况时，其标准荷载值应乘以冲击系数γ_3，其值应为2.0。</t>
    <phoneticPr fontId="1" type="noConversion"/>
  </si>
  <si>
    <t>5.2 设计
5.2.1 液压升降整体脚手架设计应符合现行国家标准《钢结构设计标准》GB 50017、《冷弯薄壁型钢结构技术规范》GB 50018 和《混凝土结构设计规范》GB 50010 的规定。
5.2.2 液压升降整体脚手架架体结构、附着支承结构、防倾、防坠装置的承载能力应根据其结构形式及实际受力状态进行下列设计计算：
1 竖向主框架的强度和压杆稳定及连接计算；
2 水平桁架的强度和压杆稳定及连接计算；
3 脚手架架体的强度和压杆稳定及连接计算；
4 附着支承的强度和稳定及连接计算；
5 防倾覆装置的强度和稳定及连接计算；
6 附着支承工作时对混凝土结构所产生的附加作用验算。
5.2.3 竖向主框架、水平桁架、架体构架，应根据正常使用极限状态的要求进行变形验算，并应符合现行国家标准《钢结构设计标准》GB 50017 的规定。
5.2.4 竖向主框架的结构及连接计算应包括下列内容：
1 竖向主框架杆件的杆件强度和稳定性计算；
2 竖向主框架杆件的节点变形验算；
3 节点板及节点焊缝或连接螺栓强度计算。
5.2.5 附着支承的强度和稳定及连接计算应符合下列规定：
1 每一附着支承应承受该机位范围内的全部荷载标准值，并应乘以荷载不均匀系数γ_2及冲击系数γ_3，冲击系数取值应为2；
2 应进行抗弯、抗压、抗剪、焊缝强度、稳定性、锚固螺栓强度计算和变形验算。
5.2.6 导轨设计应符合下列规定：
1 荷载设计值应根据不同工况分别乘以相应的荷载不均匀系数；</t>
    <phoneticPr fontId="1" type="noConversion"/>
  </si>
  <si>
    <t>2 应进行抗弯、抗压、抗剪、焊缝强度、稳定性、锚固螺栓强度计算和进行变形验算。
5.2.7 防坠装置设计应符合下列规定：
1 荷载设计值应乘以相应的冲击系数γ_3，系数取值应为2；并应按升降工况一个机位范围内的荷载取值；
2 应依据实际情况分别进行强度和刚度验算；
3 吊杆式防坠装置的上吊点不得与液压升降装置的上吊点设置在同一附着支承上。
5.2.8 竖向主框架底座框和吊拉杆设计应符合下列规定：
1 荷载设计值应依据主框架传递受力计算；
2 升降设备与竖向主框架连接应进行强度和稳定验算，并应对连接焊缝及螺栓进行强度计算。
5.2.9 悬臂梁设计应进行强度和变形、稳定验算。
5.2.10 液压升降装置选择应符合下列规定：
1 荷载设计值应按升降工况一个最大的机位荷载，并应乘以荷载不均匀系数γ_2确定；
2 液压升降装置的提升力应按下式验算：
γ_1 γ_2 N_s ≤ N_c （5.2.10-1）
式中：
N_s——荷载设计值；
N_c——液压升降装置提升力额定值。
3 液压升降装置提升力额定值（N_c）应按下式计算：
N_c＝0.9FP （5.2.10-2）
式中：
F——液压升降装置活塞腔面积（m²）；
P——液压系统工作压力（MPa）。
5.2.11 锚固螺栓应同时承受剪力和轴向拉力，其强度应按下列公式计算：
√[(N_v/N_vb)²＋(N_t/N_tb)²] ≤ 1 （5.2.11-1）
N_vb＝πd_0²f_vb/4 （5.2.11-2）_</t>
    <phoneticPr fontId="1" type="noConversion"/>
  </si>
  <si>
    <t>N_tb＝πd_0²f_tb/4 （5.2.11-3）
式中：
N_v、N_t——一个螺栓所承受的剪力和拉力设计值（N）；
N_vb、N_tb——一个螺栓抗剪、抗拉承载能力设计值（N）；
f_vb——螺栓抗剪强度设计值，宜采用Q235钢，取f_vb＝140N/mm²；
d_0——螺栓计算直径（mm）；
f_tb——螺栓抗拉强度设计值，宜采用Q235钢，取f_tb＝170N/mm²。
5.2.12 锚固螺栓孔处混凝土受压（图5.2.12）承载能力应符合下式要求：
【图5.2.12 锚固螺栓孔处混凝土受压状况图】本示意图说明了锚固螺栓通过升降架支座作用于混凝土墙体时，螺栓剪力作用下混凝土孔壁局部受压的受力传递关系及受压范围。
N_v ≤ 1.35β_bβ_1f_cb d （5.2.12）
式中：
N_v——一个螺栓所承受的剪力设计值（N）；
β_b——螺栓孔混凝土受荷计算系数，取0.39；
β_1——混凝土局部承压强度提高系数，取1.73；
f_c——爬升时混凝土龄期试块轴心抗压强度设计值（N/mm²）；
b——混凝土墙的厚度（mm）；
d——锚固螺栓直径（mm）。
5.2.13 锚固螺栓孔处垫板的宽度与厚度比不应大于10。
5.2.13 锚固螺栓孔处混凝土抗冲切强度（图5.2.13）应按下式计算：
【图5.2.13 锚固螺栓孔处混凝土抗冲切状况图】本示意图说明了锚固螺栓通过升降架支座作用于混凝土墙体时，在拉力作用下混凝土有效受力高度范围内形成的抗冲切受力路径及受力边界关系。
N_t ≤ 0.6 f_t μ_m H_0 （5.2.13）
式中：
N_t——螺栓承受的拉力设计值（kN）；
f_t——爬升龄期的混凝土同条件试块轴心抗拉强度设计值（kN/m²）；
μ_m——离螺栓垫板面积周边H_0/2处的周长；
H_0——混凝土截面有效高度。
5.2.14 位于建筑物凸出或凹进结构处的液压升降整体脚手架应进行专项设计。</t>
    <phoneticPr fontId="1" type="noConversion"/>
  </si>
  <si>
    <t>16/17</t>
    <phoneticPr fontId="1" type="noConversion"/>
  </si>
  <si>
    <t>6 液压升降装置
6.1 技术要求
6.1.1 液压升降装置应符合国家现行标准《液压缸试验方法》GB/T 15622 和《液压缸》JB/T 10205 的规定。
6.1.2 液压控制系统应符合现行国家标准《液压传动系统及其元件的通用规则和安全要求》GB/T 3766 的规定。液压控制系统应具有自动闭锁功能。
6.1.3 液压系统额定工作压力应小于16MPa，各液压元件的额定工作压力应大于16MPa。
6.1.4 溢流阀的调定值不应大于系统额定工作压力的110%。
6.1.5 液压升降装置的工作性能应符合本标准附录A的规定。
6.2 使用与维护
6.2.1 液压系统维护应符合使用说明书的规定，并应符合下列规定：
1 不同牌号液压油不得混用；
2 液压升降装置应每月维护一次，各液压元件的功能应保持正常。
6.2.2 当液压系统出现异常噪声时，应立即停机检查，排除异常后方可运行。
6.2.3 液压控制台、液压升降装置及液压管路应防淋、防尘、防碰撞，其安装布设应符合使用说明书和专项施工方案要求。
6.2.4 液压控制台的底座应按使用说明书和专项施工方案要求进行强度和刚度的验算，安装后液压控制台四周应有人员操作空间和安全间隔设施。
6.2.5 当液压升降装置使用12个月或单体工程结束后，应对其进行防腐处理，密封件、卡齿、链条、提升杆应检验合格后方可使用。</t>
    <phoneticPr fontId="1" type="noConversion"/>
  </si>
  <si>
    <t>7 安全装置
7.1 防坠装置
7.1.1 液压升降整体脚手架的每个机位防坠装置应安全可靠，在使用和升降工况下应能可靠工作，防坠装置的制动距离不得大于80mm。
7.1.2 防坠装置产品型式试验应按本标准附录B进行型检。
7.1.3 防坠装置使用一个单体工程或停止使用6个月后，应经检验合格后方可再次使用。
7.1.4 防坠装置受力构件与建筑结构应可靠连接。
7.2 防倾覆装置
7.2.1 液压升降整体脚手架在升降工况下，竖向主框架位置的最上附着支承和最下附着支承之间的最小间距不得小于一个楼层的高度，且不应小于4.5m；在使用工况下，竖向主框架位置的最上附着支承和最下附着支承之间的最小间距不得小于两个楼层的高度。
7.2.2 导轨应与竖向主框架可靠连接。
7.2.3 防倾覆装置应具有防止竖向主框架倾斜的功能。
7.2.4 防倾覆装置与建筑主体结构应采用螺栓连接，装置与导轨之间的间隙不应大于8mm。
7.2.5 架体垂直度偏差不应大于架体全高的0.5%，且不应大于60mm。防倾覆装置应具有调节功能，调节架体应满足架体垂直度的要求。
7.2.6 防倾覆装置与导轨的摩擦面采用滚动摩擦。
7.3 荷载控制、同步控制装置
7.3.1 液压升降整体脚手架升降时应具有荷载控制和同步控制功能。
7.3.2 当某一机位的荷载超过设计值的30%或失载30%时，荷载控制系统应能自动停机并报警。
7.3.3 同步控制装置应具有同步控制功能，应保证在单个行程结束时，所有机位在额定荷载内均应提升同一高度；当相邻机位高差超过30mm或整体架体最大升降差超过80mm时，同步控制装置能自动停止液压升降整体脚手架运行，待所有机位提升至同一高度时方可重新进入工作状态。</t>
    <phoneticPr fontId="1" type="noConversion"/>
  </si>
  <si>
    <t>20/21</t>
    <phoneticPr fontId="1" type="noConversion"/>
  </si>
  <si>
    <t>8 施工
8.1 一般规定
8.1.1 遇到雷雨、6级及以上大风、大雾、大雪天气时，应停止使用。5级及以上大风停止升降作业，夜间不得进行升降作业。架体上人员应对设备、工具、零散材料、可移动的铺板等进行整理，并应做好防护，待人员全部撤离后立即切断电源。
8.1.2 液压升降整体脚手架应与建筑结构接地连接，接地点不应少于两处，接地装置应符合下列规定：
1 采用镀锌圆钢作防雷接地连接线时，直径不应小于10mm；
2 采用扁钢作防雷接地连接线时，规格不应小于25mm×4mm；
3 采用铜绞线作防雷接地连接线时，截面积不应小于16mm²。
8.1.3 液压升降整体脚手架的安装、升降、拆卸，应统一指挥，并应在操作区域设置安全警戒线。
8.1.4 液压升降整体脚手架安装、升降、使用、拆卸作业，应符合现行行业标准《建筑施工高处作业安全技术规范》JGJ 80的规定。
8.1.5 液压升降整体脚手架施工用电应符合现行行业标准《施工现场临时用电安全技术规范》JGJ 46的规定。
8.1.6 升降过程中作业人员应撤离架体。
8.1.7 当超过设计遇期的恶劣天气发生前，应采取措施对液压升降整体脚手架各部位与主体结构加强连接、固定。</t>
    <phoneticPr fontId="1" type="noConversion"/>
  </si>
  <si>
    <t>22/22</t>
    <phoneticPr fontId="1" type="noConversion"/>
  </si>
  <si>
    <t>8.2 安装
8.2.1 安装单位现场查验的技术资料应包括下列主要内容：
1 液压升降整体脚手架产品合格证；
2 液压升降整体脚手架的型式试验报告或检验报告；
3 液压升降整体脚手架使用说明书。
8.2.2 安装单位应现场核对构配件、设备、周转材料，并应符合下列规定：
1 架体主受力型钢、钢板和圆钢等材质性能不应低于现行国家标准《碳素结构钢》GB/T 700中Q235A级钢的规定；
2 普通螺栓应符合现行国家标准《六角头螺栓 C级》GB/T 5780和《六角头螺栓》GB/T 5782的规定；
3 锚栓和销轴可采用现行国家标准《碳素结构钢》GB/T 700中规定的Q235钢或《低合金高强度结构钢》GB/T 1591中规定的Q345钢；
4 脚手板选用、固定和布置应符合现行国家标准《建筑施工脚手架安全技术统一标准》GB 51210的规定；
5 安全围护材料及辅助材料应符合国家现行相关标准的规定。
8.2.3 安装前应搭设安装平台。安装平台应有防护设施，安装平台的精度和承载能力应满足使用说明书及架体安装的要求。
8.2.4 安装前应按专项施工方案及使用说明书要求，对下列项目进行检查，检查合格后方可安装：
1 竖向主框架、水平桁架、附着支承、液压升降装置、液压控制台、油管、各液压元件、防坠装置、防倾覆装置、导向部件的数量和质量；
2 构配件的预留螺栓孔位置和尺寸；
3 建筑结构上预埋件的位置。</t>
    <phoneticPr fontId="1" type="noConversion"/>
  </si>
  <si>
    <t>23/23</t>
    <phoneticPr fontId="1" type="noConversion"/>
  </si>
  <si>
    <t>8.2.5 安装过程中竖向主框架与建筑结构间应采取可靠的临时固定措施，竖向主框架应稳定。
8.2.6 架体安装不得利用已安装部位的构件起吊其他重物。
8.2.7 架体底部应铺设花纹钢板，花纹钢板与建筑结构外檐投影间隙不应大于100mm，操作层脚手板应铺钉牢固，孔洞直径宜小于25mm。
8.2.8 每个竖向主框架覆盖的每一已完工楼层处应设置一道附着支承及防倾覆装置。
8.2.9 防坠装置应与建筑结构可靠连接。每一升降点应设置一个防坠装置，在使用和升降工况下应能起作用。
8.2.10 当机械联动式防坠装置与液压升降装置安装时，应先将液压升降装置处于受力状态，调节螺栓将防坠装置打开，防坠杆件应能自由地在装置中间移动；当液压升降装置处于失力状态时，防坠装置应锁紧防坠杆件。
8.2.11 当竖向主框架安装时，竖向主框架位置应设置上下两个防倾覆装置。防倾覆装置之间的最小间距不应小于一个楼层高度。
8.2.12 液压升降装置应安装在竖向主框架上，并应有可靠连接。
8.2.13 液压控制台布置应靠近所有机位的中间位置，应向两边均排油管；油管应固定在底层架体上，应有防止碰撞的措施，转角处应圆弧过渡。
8.2.14 架体外侧防护应采用安全密目网或冲孔钢板立网，防护应布设在外立杆内侧或外侧。
8.2.15 液压升降整体脚手架安装后应按本标准附录C检验。</t>
    <phoneticPr fontId="1" type="noConversion"/>
  </si>
  <si>
    <t>8.3 升降
8.3.1 液压升降整体脚手架提升或下降前检查应按本标准附录D确定；检查合格后方能发布升降令。
8.3.2 在液压升降整体脚手架升降过程中，应设立统一指挥，统一信号；作业人员应服从指挥。
8.3.3 升降时应进行检查，并应符合下列规定：
1 液压控制台压力表、指示灯、同步控制系统应无异常现象；
2 各个机位建筑结构受力点混凝土墙体或预埋件应无异常变化；
3 各个机位竖向主框架、水平桁架结构、附着支承结构、导向、防倾覆装置、受力构件应无异常现象；
4 各个防坠装置开启情况和失力锁紧工作应正常。
8.3.4 当升降过程中发现异常现象时，应停止升降工作。查明原因，隐患排除后方可继续升降工作。</t>
    <phoneticPr fontId="1" type="noConversion"/>
  </si>
  <si>
    <t>8.4 使用
8.4.1 液压升降整体脚手架提升或下降到位后检查应按本标准附录E确定，检查合格后方可使用。
8.4.2 使用过程中严禁下列违章作业：
1 架体上超载、集中堆载；
2 利用架体作为吊装点、支撑点或张拉点；
3 利用架体作为施工外模板的支模架；
4 拆卸安全防护设施和消防设施；
5 构件碰撞或拉动架体；
6 其他影响架体安全的违章作业。
8.4.3 夜间施工作业时，应有足够的照度。
8.4.4 液压升降整体脚手架使用过程中，应每个月检查一次，并应符合本标准附录C的要求，检查合格后方可继续使用。
8.4.5 作业期间，应定期清理架体、设备和构配件上的建筑垃圾。
8.4.6 液压升降整体脚手架的部件及装置，出现下列情况之一时，应报废：
1 焊接结构件严重变形或严重锈蚀；
2 螺栓发生严重变形、严重磨损、严重锈蚀；
3 液压升降装置主要部件损坏。
4 防坠装置部件发生明显变形。</t>
    <phoneticPr fontId="1" type="noConversion"/>
  </si>
  <si>
    <t>25/25</t>
    <phoneticPr fontId="1" type="noConversion"/>
  </si>
  <si>
    <t>26/26</t>
    <phoneticPr fontId="1" type="noConversion"/>
  </si>
  <si>
    <t>8.5 拆 卸
8.5.1 液压升降整体脚手架拆卸工作应按专项施工方案及安全操作规程的有关要求进行。
8.5.2 拆卸作业时，不得提前拆卸与主体的连接件，必要时应采取临时拉结措施。
8.5.3 拆卸作业时，不得抛扔拆卸的材料及设备。
8.5.4 附着式升降脚手架的拆卸工作应按专项施工方案及安全操作规程的有关要求进行。应在作业影响区域设置警戒线，并应由专人看守，严禁人员入内。
8.5.5 每完成一个单体工程，液压升降整体脚手架部件、液压升降装置、控制设备、防坠装置等应进行保养和维修。</t>
    <phoneticPr fontId="1" type="noConversion"/>
  </si>
  <si>
    <t>27/28</t>
    <phoneticPr fontId="1" type="noConversion"/>
  </si>
  <si>
    <t xml:space="preserve">9 检 验
9.0.1 工程施工使用的液压升降整体脚手架应为定型产品。产品定型前应按本标准附录F进行型式试验，液压升降装置应按本标准附录A进行型式试验。
9.0.2 液压升降整体脚手架应进行检验，并应符合下列规定：
1 首次安装完毕，专业承包单位应自检，自检合格后，应按本标准附录C对安装质量进行检验；
2 提升或下降前，应按本标准附录D的规定进行检验，合格后方可作业；
3 上升或下降到位及投入使用前，应按本标准附录E的规定进行检验，合格后方可交付使用；
4 在液压升降整体脚手架使用、提升和下降阶段，均应检查防坠、防倾覆装置，合格后方可使用。
9.0.3 液压升降整体脚手架电气设施和线路应符合现行行业标准《施工现场临时用电安全技术规范》JGJ 46的规定。
9.0.4 液压控制系统的性能检验应符合下列规定：
1 各回路通断及各元件工作应正常；
2 系噪声、压力脉动、系统振动应在允许范围内；
3 压力表、信号灯、报警器等装置的测量和信号应准确无误。
</t>
    <phoneticPr fontId="1" type="noConversion"/>
  </si>
  <si>
    <t>9.0.5 当液压升降装置的试验压力达到额定工作压力的1.25倍时，保压15min，液压升降装置应无异常情况。
9.0.6 在负载工况运转时，噪声不应大于75dB（A）。
9.0.7 在额定荷载作用下，当液压控制系统出现失压状态时，液压升降装置不得有超出单个行程的滑移现象。
9.0.8 液压升降装置最低启动工作压力应小于0.5MPa。
9.0.9 液压升降装置在1.5倍额定工作压力作用下，不得有零件损坏。
9.0.10 在额定工作压力下和温度－20℃～45℃的环境中，液压升降装置应可靠工作，固定密封处和运动密封处不得渗漏油。
9.0.11 经检验合格后的液压升降整体脚手架可正常使用运行，使用中的检查应符合下列规定：
1 使用中应每日检查支座固定系统、防坠装置、防倾覆装置；
2 升降作业前，应检查液压系统、架体固定系统、防坠防倾系统、信息反馈系统、升降控制系统的可靠性；应检查支座位置混凝土强度；
3 升降作业后，应检查支座固定系统、架体固定系统、防坠防倾系统的工作可靠性。</t>
    <phoneticPr fontId="1" type="noConversion"/>
  </si>
  <si>
    <t>JGJ/T414-2018</t>
    <phoneticPr fontId="1" type="noConversion"/>
  </si>
  <si>
    <t>JGJ/T183-2019</t>
    <phoneticPr fontId="1" type="noConversion"/>
  </si>
  <si>
    <t>GB_55023-2022_1</t>
    <phoneticPr fontId="1" type="noConversion"/>
  </si>
  <si>
    <t>GB_55023-2022_2</t>
  </si>
  <si>
    <t>GB_55023-2022_3</t>
  </si>
  <si>
    <t>GB_55023-2022_4</t>
  </si>
  <si>
    <t>GB_55023-2022_5</t>
  </si>
  <si>
    <t>GB_55023-2022_6</t>
  </si>
  <si>
    <t>GB_55023-2022_7</t>
  </si>
  <si>
    <t>GB_55023-2022_8</t>
  </si>
  <si>
    <t>GB_55023-2022_9</t>
  </si>
  <si>
    <t>GB_55023-2022_10</t>
  </si>
  <si>
    <t>GB_55023-2022_11</t>
  </si>
  <si>
    <t>GB_55023-2022_12</t>
  </si>
  <si>
    <t>GB_55023-2022_13</t>
  </si>
  <si>
    <t>JGJ/T414-2018_1</t>
    <phoneticPr fontId="1" type="noConversion"/>
  </si>
  <si>
    <t>JGJ/T414-2018_2</t>
  </si>
  <si>
    <t>JGJ/T414-2018_3</t>
  </si>
  <si>
    <t>JGJ/T414-2018_4</t>
  </si>
  <si>
    <t>JGJ/T414-2018_5</t>
  </si>
  <si>
    <t>JGJ/T414-2018_6</t>
  </si>
  <si>
    <t>JGJ/T414-2018_7</t>
  </si>
  <si>
    <t>JGJ/T414-2018_8</t>
  </si>
  <si>
    <t>JGJ/T414-2018_9</t>
  </si>
  <si>
    <t>JGJ/T414-2018_10</t>
  </si>
  <si>
    <t>JGJ/T414-2018_11</t>
  </si>
  <si>
    <t>JGJ/T414-2018_12</t>
  </si>
  <si>
    <t>JGJ/T414-2018_13</t>
  </si>
  <si>
    <t>JGJ/T414-2018_14</t>
  </si>
  <si>
    <t>JGJ/T414-2018_15</t>
  </si>
  <si>
    <t>JGJ/T414-2018_16</t>
  </si>
  <si>
    <t>JGJ/T414-2018_17</t>
  </si>
  <si>
    <t>JGJ/T414-2018_18</t>
  </si>
  <si>
    <t>JGJ/T414-2018_19</t>
  </si>
  <si>
    <t>JGJ/T414-2018_20</t>
  </si>
  <si>
    <t>JGJ/T414-2018_21</t>
  </si>
  <si>
    <t>JGJ/T414-2018_22</t>
  </si>
  <si>
    <t>JGJ/T414-2018_23</t>
  </si>
  <si>
    <t>JGJ/T414-2018_24</t>
  </si>
  <si>
    <t>JGJ/T183-2019_1</t>
    <phoneticPr fontId="1" type="noConversion"/>
  </si>
  <si>
    <t>JGJ/T183-2019_2</t>
  </si>
  <si>
    <t>JGJ/T183-2019_3</t>
  </si>
  <si>
    <t>JGJ/T183-2019_4</t>
  </si>
  <si>
    <t>JGJ/T183-2019_5</t>
  </si>
  <si>
    <t>JGJ/T183-2019_6</t>
  </si>
  <si>
    <t>JGJ/T183-2019_7</t>
  </si>
  <si>
    <t>JGJ/T183-2019_8</t>
  </si>
  <si>
    <t>JGJ/T183-2019_9</t>
  </si>
  <si>
    <t>JGJ/T183-2019_10</t>
  </si>
  <si>
    <t>JGJ/T183-2019_11</t>
  </si>
  <si>
    <t>JGJ/T183-2019_12</t>
  </si>
  <si>
    <t>JGJ/T183-2019_13</t>
  </si>
  <si>
    <t>JGJ/T183-2019_14</t>
  </si>
  <si>
    <t>JGJ/T183-2019_15</t>
  </si>
  <si>
    <t>JGJ/T183-2019_16</t>
  </si>
  <si>
    <t>JGJ/T183-2019_17</t>
  </si>
  <si>
    <t>JGJ/T183-2019_18</t>
  </si>
  <si>
    <t>JGJ/T183-2019_19</t>
  </si>
  <si>
    <t>JGJ/T183-2019_20</t>
  </si>
  <si>
    <t>JGJ/T183-2019_21</t>
  </si>
  <si>
    <t>JGJ/T183-2019_22</t>
  </si>
  <si>
    <t>JGJ/T183-2019_23</t>
  </si>
  <si>
    <t>JGJ/T183-2019_24</t>
  </si>
  <si>
    <t>JGJ/T183-2019_25</t>
  </si>
  <si>
    <t>建筑施工承插型盘扣式钢管脚手架安全技术标准</t>
    <phoneticPr fontId="1" type="noConversion"/>
  </si>
  <si>
    <t>JGJ/T231-2021</t>
    <phoneticPr fontId="1" type="noConversion"/>
  </si>
  <si>
    <t>1 总则
1.0.1 为在承插型盘扣式钢管脚手架的设计、安装与拆除、使用和管理中，做到技术先进、经济合理、安全适用，制定本标准。
1.0.2 本标准适用于建筑与市政工程中承插型盘扣式钢管脚手架的设计、安装与拆除、使用和管理。
1.0.3 承插型盘扣式钢管脚手架的设计、安装与拆除、使用和管理除应符合本标准外，尚应符合国家现行有关标准的规定。</t>
    <phoneticPr fontId="1" type="noConversion"/>
  </si>
  <si>
    <t>2 术语和符号
2.1 术语
2.1.1 承插型盘扣式钢管脚手架 disk lock steel tubular scaffold
根据使用用途可分为支撑脚手架和作业脚手架。立杆之间采用外套管或内插管连接，水平杆和斜杆采用杆端扣接头插入连接盘，用楔形插销连接，能承受相应的荷载，并具有作业安全和防护功能的结构整体，简称脚手架。
2.1.2 支撑脚手架 shoring scaffold
支承于地面或结构上可承受各种荷载，具有安全防护功能，为建筑施工提供支撑和作业平台的承插型盘扣式钢管脚手架，包括混凝土施工用模板支撑脚手架和结构安装支撑架，简称支撑架。
2.1.3 作业脚手架 operation scaffold
支承于地面、建筑物上或附着于工程结构上，为建筑施工提供作业平台与安全防护的承插型盘扣式钢管脚手架，简称作业架。
2.1.4 基座 base collar2.1.4 基座 基座 底座项圈
焊接有连接盘和连接套管，底部插入可调底座，顶部可插接立杆的竖向杆件。
2.1.5 立杆 standard
焊接有连接盘和连接套管的承插型盘扣式钢管脚手架的竖向杆件。
2.1.6 水平杆 ledger
两端焊接有扣接头，可与立杆上的连接盘扣接的水平杆件。
2.1.7 斜杆 diagonal brace
两端装配有扣接头，可与立杆上的连接盘扣接的斜向杆件。</t>
    <phoneticPr fontId="1" type="noConversion"/>
  </si>
  <si>
    <t>2.1.8 可调底座 base jack
插入立杆底端可调节高度的底座。
2.1.9 可调托撑 head jack
插入立杆顶端可调节高度的托撑。
2.1.10 连接盘 connecting plate2.1.10 连接盘连接板
焊接于立杆上可扣接8个方向扣接头的八边形或圆环形八孔板。
2.1.11 连接套管 standard connecting collar2.1.11 连接套管 标准连接项圈
固定于立杆一端，用于立杆竖向接长的外套管或内插管。
2.1.12 立杆连接件 standard connecting pin2.1.12 立杆连接件 标准连接针
将立杆与立杆连接套管固定、防拔脱的专用零件。
2.1.13 盘扣节点 disk lock node
脚手架立杆上的连接盘与水平杆及斜杆端上的扣接头用插销组合的连接。
2.1.14 扣接头 ledger or diagonal brace end2.1.14 扣接头 ledger 或 diagonal braces end
位于水平杆或斜杆杆件端头与立杆上的连接盘快速扣接的零件。
2.1.15 插销 wedge
装配在扣接头内，用于固定扣接头与连接盘的专用楔形零件。
2.1.16 挂扣式钢梯 stair
挂扣在脚手架水平杆上供施工人员上下通行的爬梯。</t>
    <phoneticPr fontId="1" type="noConversion"/>
  </si>
  <si>
    <t>3/4</t>
    <phoneticPr fontId="1" type="noConversion"/>
  </si>
  <si>
    <t>2.1.17 三角架 side bracket
与立杆上连接盘扣接的侧边悬挑三角形桥架。
2.1.18 钢脚手板 steel deck
挂在脚手架上用于提供操作面的钢制脚手板。
2.1.19 连墙件 anchoring
将脚手架与建筑物连接的构件。
2.1.20 双槽钢梁 double channel steel beam
两端搁置在立杆连接盘上或可调托撑上的专用横梁，用于实现梁、板共支作用的构件。
2.1.21 步距 lift height2.1.21 步距 升高
相邻水平杆的竖向距离。
2.1.22 搭设高度 height of shoring scaffold2.1.22 搭设支撑脚手架高度
支撑架搭设高度为自可调底座的底部至可调托撑端部的总高度；作业架搭设高度为自可调底座的底部至最顶层横杆中心的总高度。
2.1.23 高宽比 aspect ratio
脚手架搭设高度与架体窄边宽度之比。</t>
    <phoneticPr fontId="1" type="noConversion"/>
  </si>
  <si>
    <t>2.2 符号
2.2.1 荷载和荷载效应
FR——作用在连接盘上的竖向力设计值；
MR——设计荷载下脚手架抗倾覆力矩；
MT——设计荷载下脚手架倾覆力矩；
MW——风荷载设计值产生的弯矩；
MWk——风荷载标准值产生的弯矩；
N——立杆轴向力设计值；
N0——连墙件约束脚手架平面外变形所产生的轴向力；
Nk——立杆传至基础顶面的轴向力标准组合值；
Nl——连墙件轴向力设计值；
Nlw——风荷载产生的连墙件轴向力设计值；
ΣNGk——永久荷载标准值产生的立杆轴向力总和；
ΣNQk——可变荷载标准值产生的立杆轴向力总和；
Pk——相应于荷载效应标准组合时，立杆基础底面处的平均压力；
R——脚手架抗力的设计值；
S——脚手架按荷载基本组合计算的效应设计值；
w0——基本风压值；
wk——风荷载标准值。
2.2.2 材料性能和抗力
E——钢材的弹性模量；
f——钢材的抗拉、抗压和抗弯强度设计值；
fa——地基承载力特征值；
Qb——连接盘受剪承载力设计值；
Rc——扣件抗滑承载力设计值；
[σ]——容许挠度。</t>
    <phoneticPr fontId="1" type="noConversion"/>
  </si>
  <si>
    <t>4/5</t>
    <phoneticPr fontId="1" type="noConversion"/>
  </si>
  <si>
    <t>2.2.3 几何参数
A——横截面面积；
Ag——可调底座底板对应的基础底面积；
An——连接件的净截面积；
a——可调托撑支撑点至顶层水平杆中心线的距离；
Hl——连接件竖向间距；
h——架体步距（以立杆上的连接盘间距为模数）；
h′——架体顶层步距（以立杆上的连接盘间距为模数）；
I——截面惯性矩；
i——截面回转半径；
K——连接件水平间距；
l0——立杆计算长度；
la——立杆纵距；
W——截面模量。
2.2.4 计算系数
k——支撑架悬臂端计算长度折减系数；
φ——挡风系数；
βH——支撑架搭设高度调整系数；
γ——架体顶层步距修正系数；
γ0——脚手架结构重要性系数；
γG——永久荷载分项系数；
γQ——可变荷载分项系数；
γR——承载力设计值调整系数；
η——立杆计算长度修正系数；
λ——杆件长细比；
μ——考虑脚手架整体稳定因素的立杆计算长度修正系数；
μs——脚手架风荷载体型系数；
μz——风压高度变化系数；
φ——轴心受压构件稳定系数。</t>
    <phoneticPr fontId="1" type="noConversion"/>
  </si>
  <si>
    <t>3 基本规定
3.0.1 根据立杆外径大小，脚手架可分为标准型（B型）和重型（Z型）。脚手架构件、材料及其制作质量应符合现行行业标准《承插型盘扣式钢管支架构件》JG/T 503的规定。
3.0.2 杆端扣接头与连接盘的插销连接锤击自锁后不应拔脱。搭设脚手架时，宜采用不小于0.5kg锤子敲击插销顶面不少于2次，直至插销销紧。销紧后应再次击打，插销下沉量不应大于3mm。
3.0.3 插销销紧后，扣接头端部弧面应与立杆外表面贴合。
3.0.4 脚手架结构设计应根据脚手架种类、搭设高度和荷载采用不同的安全等级。脚手架安全等级的划分应符合表3.0.4的规定。
【表3.0.4 脚手架的安全等级】本表规定了作业架和支撑架在不同搭设高度及荷载设计值条件下的安全等级：
（1）当作业架搭设高度不大于24m，支撑架搭设高度不大于8m，且支撑架荷载设计值不大于15kN/m²，或不大于20kN/m，或不大于7kN/点时，安全等级为Ⅱ级；
（2）当作业架搭设高度大于24m，或支撑架搭设高度大于8m，或支撑架荷载设计值大于15kN/m²，或大于20kN/m，或大于7kN/点时，安全等级为Ⅰ级。
注：支撑脚手架的搭设高度、荷载设计值中任一项不满足安全等级为Ⅱ级的条件时，其安全等级为Ⅰ级。
3.0.5 脚手架结构重要性系数γ0应按表3.0.5的规定取值。
【表3.0.5 脚手架结构重要性系数γ0】本表规定了承载能力极限状态设计条件下，不同安全等级脚手架结构的重要性系数取值：
（1）当安全等级为Ⅰ级时，脚手架结构重要性系数γ0为1.1；
（2）当安全等级为Ⅱ级时，脚手架结构重要性系数γ0为1.0。</t>
    <phoneticPr fontId="1" type="noConversion"/>
  </si>
  <si>
    <t>4 荷载
4.1 荷载分类
4.1.1 作用于脚手架上的荷载可分为永久荷载和可变荷载。
4.1.2 支撑架永久荷载应包括下列内容：
1 支撑架的架体自重G1，包括立杆、水平杆、斜杆、可调底座、可调托撑、双槽托梁等构配件自重；
2 作用到支撑架上的荷载G2，包括模板及小楞等构件自重；
3 作用到支撑架上的荷载G3，包括钢筋和混凝土自重以及钢构件和预制混凝土等构件自重。
4.1.3 作业架永久荷载应包括架体及构配件自重，包括立杆、水平杆、斜杆、可调底座、可调托撑、脚手板、栏杆、挡脚板、挂扣式钢梯、安全网等构配件自重。
4.1.4 支撑架可变荷载应包括下列内容：
1 施工荷载Q1，包括作用在支撑架结构顶部模板面上的施工作业人员、施工设备、超过浇筑构件厚度的混凝土料堆放荷载；
2 附加水平荷载Q2，包括作用在支撑架结构顶部的泵送混凝土、倾倒混凝土等因素产生的水平荷载；
3 风荷载Q3。
4.1.5 作业架可变荷载应包括下列内容：
1 施工荷载Q1，包括作业层上的操作人员、临时放置材料、运输工具及小型工具等；
2 风荷载Q3。</t>
    <phoneticPr fontId="1" type="noConversion"/>
  </si>
  <si>
    <t>4.2 荷载标准值
4.2.1 支撑架永久荷载标准值取值应符合下列规定：
1 架体自重G1标准值可按实际重量取值；模板自重G2标准值应按实际重量取值；值应根据混凝土结构模板设计图纸确定。肋形楼板及无梁楼板的模板自重标准值可按表4.2.1的规定确定。
【表4.2.1 楼板模板自重标准值（kN/m²）】本表规定了不同模板构件名称及模板类型条件下的模板自重标准值：
（1）当模板构件名称为平板的模板及小楞，且采用木模板时，模板自重标准值为0.30kN/m²；当采用定型钢模板时，模板自重标准值为0.50kN/m²；当采用铝合金模板时，模板自重标准值为0.25kN/m²；
（2）当模板构件名称为楼板模板（包括梁模板），且采用木模板时，模板自重标准值为0.50kN/m²；当采用定型钢模板时，模板自重标准值为0.75kN/m²；当采用铝合金模板时，模板自重标准值为0.30kN/m²。
2 普通梁钢筋混凝土自重G3标准值可采用25.5kN/m³，普通板钢筋混凝土自重G3标准值可采用25.1kN/m³，特殊钢筋混凝土结构应根据实际情况确定。</t>
    <phoneticPr fontId="1" type="noConversion"/>
  </si>
  <si>
    <t>4.2.2 作业架永久荷载标准值取值应符合下列规定：
1 脚手架架体及构配件自重G4标准值可按实际重量取值；
2 木脚手板和钢脚手板自重G5标准值可按0.35kN/m²取值，钢笆片自重G5标准值可按0.15kN/m²取值；
3 作业层的栏杆与挡脚板自重G6标准值可按0.17kN/m取值；
4 脚手架外侧满挂密目式安全立网自重G7标准值可按0.01kN/m²取值，钢板冲孔网自重标准值可按实际自重取值。
4.2.3 支撑架可变荷载标准值取值应符合下列规定：
1 作用在支撑架上的施工人员及设备荷载Q1标准值可按实际计算，但不应小于2.5kN/m²；
2 泵送混凝土、倾倒混凝土等因素产生的附加水平荷载Q2标准值可取计算工况下的竖向永久荷载标准值的2%，并应作用在支撑架上端最不利位置；
3 作用在支撑架上的风荷载Q3标准值应按下式计算：
wk＝μzμs w0（4.2.3）wk=μzμs w0（4.2.3）
式中：wk——风荷载标准值（kN/m²）；
μz——风压高度变化系数，按本标准附录A确定；
μs——脚手架风荷载体型系数，按本标准第4.2.4条采用；
w0——基本风压值（kN/m²），按现行国家标准《建筑结构荷载规范》GB 50009的规定采用，取重现期n=10对应的风压值，不得小于0.3kN/m²。</t>
    <phoneticPr fontId="1" type="noConversion"/>
  </si>
  <si>
    <t>4.2.4 脚手架风荷载体型系数应符合表4.2.4的规定。
【表4.2.4 脚手架风荷载体型系数μs】本表规定了脚手架状况及背靠建筑物状况条件下的脚手架风荷载体型系数：
（1）当脚手架状况为全封闭、半封闭，且背靠建筑物状况为全封闭墙时，脚手架风荷载体型系数μs为1.0φ；
（2）当脚手架状况为全封闭、半封闭，且背靠建筑物状况为敞开、框架和开洞墙时，脚手架风荷载体型系数μs为1.3φ；
（3）当脚手架状况为敞开时，脚手架风荷载体型系数μs为μstw。
注：1 μstw值可将支撑架及脚手架视为桁架，按现行国家标准《建筑结构荷载规范》GB 50009的规定计算。
2 φ为挡风系数，φ=1.2An/Aw，其中An为挡风面积；Aw为迎风面积。
3 全封闭：沿支撑结构外侧全高全长用密目网封闭。
4 半封闭：沿支撑结构外侧全高全长用密目网封闭30%～70%。
5 敞开：沿支撑结构外侧全高全长无密目网封闭。
4.2.5 作业架可变荷载标准值取值应符合下列规定：
1 作用在作业架上的施工荷载Q4标准值应根据实际情况确定，且不应低于表4.2.5的规定；
【表4.2.5 脚手架施工荷载标准值】本表规定了不同类别脚手架的施工荷载标准值：
（1）当类别为防护脚手架时，施工荷载标准值为1kN/m²；
（2）当类别为装修脚手架时，施工荷载标准值为2kN/m²；
（3）当类别为砌筑作业脚手架时，施工荷载标准值为3kN/m²。
2 作业架同时施工的作业层层数应按实际计算，作业层不宜超过2层；
3 作用在作业架的风荷载标准值应按本标准第4.2.3条计算。</t>
    <phoneticPr fontId="1" type="noConversion"/>
  </si>
  <si>
    <t>4.3 荷载分项系数
4.3.1 计算脚手架的架体构件的强度、稳定性和节点连接强度时，荷载设计值应采用荷载标准值乘以荷载分项系数，荷载分项系数取值应符合表4.3.1的规定。
【表4.3.1 脚手架荷载分项系数】本表规定了不同验算项目条件下的永久荷载分项系数γG和可变荷载分项系数γQ：
（1）当验算项目为强度、稳定性时，永久荷载分项系数γG为1.3，可变荷载分项系数γQ为1.5；
（2）当验算项目为地基承载力时，永久荷载分项系数γG为1.0，可变荷载分项系数γQ为1.0；
（3）当验算项目为挠度时，永久荷载分项系数γG为1.0，可变荷载分项系数γQ为1.0；
（4）当验算项目为倾覆且为有利工况时，永久荷载分项系数γG为0.9，可变荷载分项系数γQ为0；
（5）当验算项目为倾覆且为不利工况时，永久荷载分项系数γG为1.3，可变荷载分项系数γQ为1.5。</t>
    <phoneticPr fontId="1" type="noConversion"/>
  </si>
  <si>
    <t>4.4 荷载效应组合
4.4.1 脚手架设计应根据正常搭设和使用过程中可能出现的荷载情况，按承载能力极限状态和正常使用极限状态分别进行荷载组合，并应取各自最不利的荷载组合进行设计。
4.4.2 对承载能力极限状态，应采用荷载效应基本组合；对正常使用极限状态，应采用荷载效应标准组合。
4.4.3 脚手架承载力应按临时工况设计进行计算，并应符合下式要求：
γ0S≤R/γR（4.4.3）
式中：γ0——脚手架结构重要性系数，安全等级为Ⅰ级时，取1.1；安全等级为Ⅱ级时，取1.0；
S——脚手架按荷载基本组合计算的效应设计值；
R——脚手架抗力的设计值；
γR——承载力设计值调整系数，根据脚手架重复使用情况取值，不小于1.0。
4.4.4 脚手架设计应根据使用过程中可能出现的荷载取其最不利的组合进行验算。利荷载效应组合进行计算，荷载效应组合宜按表4.4.4采用。
【表4.4.4 荷载效应组合】本表规定了不同计算项目条件下，支撑架与作业架的荷载效应组合：
（1）当计算项目为立杆稳定时，支撑架的荷载效应组合为G1+G2+G3+Q1+Q3；作业架的荷载效应组合为G4+G5+G6+G7+Q3+Q4；
（2）当计算项目为支架抗倾覆稳定时，支撑架的荷载效应组合为G1+G2+G3+Q1+Q2，或G1+G2+G3+Q1+Q3；
（3）当计算项目为水平杆承载力与变形时，支撑架的荷载效应组合为G1+G2+G3+Q1；作业架的荷载效应组合为G4+G5+G6+G7+Q4；
（4）当计算项目为连墙件承载力时，作业架的荷载效应组合为Q3+3.0kN。</t>
    <phoneticPr fontId="1" type="noConversion"/>
  </si>
  <si>
    <t>5 结构设计
5.1 一般规定
5.1.1 脚手架的结构设计应根据现行国家标准《建筑结构荷载规范》GB 50009、《钢结构设计标准》GB 50017、《冷弯薄壁型钢结构技术规范》GB 50018和《建筑结构可靠性设计统一标准》GB 50068的规定，采用概率极限状态设计法，采用分项系数的设计表达式。
5.1.2 支撑架设计计算应包括下列内容：
1 立杆的稳定性计算；
2 独立支撑架超过规定高宽比时的抗倾覆验算；
3 纵横向水平杆承载力计算；
4 当通过立杆连接盘传力时的连接盘受剪承载力验算；
5 立杆地基承载力计算。
5.1.3 作业架设计计算应包括下列内容：
1 立杆的稳定性计算；
2 纵横向水平杆的承载力计算；
3 连墙件的强度、稳定性和连接强度的计算；
4 当通过立杆连接盘传力时的连接盘受剪承载力验算；
5 立杆地基承载力计算。
5.1.4 当支撑架搭设成双向均有竖向斜杆的独立方塔架形式时（图5.1.4），可按带有斜腹杆的格构柱结构形式进行计算分析。
【图5.1.4 独立方塔架】本示意图说明了由立杆作为竖向受力构件、水平杆作为连接构件、斜杆作为稳定构件组成的空间方塔式支撑结构布置形式，架体在两个正交方向均设置竖向斜杆形成空间稳定体系，通过立杆、水平杆与斜杆的组合实现整体受力与稳定。</t>
    <phoneticPr fontId="1" type="noConversion"/>
  </si>
  <si>
    <t>5.1.5 当杆件变形量有控制要求时，应按正常使用极限状态验算其变形量。受弯构件的挠度不应超过表5.1.5规定的容许值。
【表5.1.5 受弯构件的容许挠度】本表规定了受弯构件在挠度控制条件下的容许挠度限值：
（1）当构件类别为受弯构件时，容许挠度为l/150与10mm取较小值。
注：l为受弯构件跨度。
5.1.6 支撑架立杆几何长细比不得大于150，作业架立杆几何长细比不得大于210；其他杆件中的受压杆件几何长细比不得大于230，受拉杆件几何长细比不得大于350。
5.1.7 当立杆不考虑风荷载时，应按受压轴向荷载杆件计算；当考虑风荷载时，应按压弯杆件计算。
5.1.8 钢材的强度设计值、截面面积等设计参数应符合本标准附录B的规定。
5.1.9 脚手架可调底座和可调托撑的承载力设计值应按表5.1.9采用。
【表5.1.9 脚手架可调底座和可调托撑的承载力设计值】本表规定了不同支撑架型号条件下可调底座和可调托撑的承载力设计值：
（1）当支撑架型号为标准型（B型），构件为可调底座时，承载力设计值为100kN；
（2）当支撑架型号为标准型（B型），构件为可调托撑时，承载力设计值为100kN；
（3）当支撑架型号为重型（Z型），构件为可调底座时，承载力设计值为140kN；
（4）当支撑架型号为重型（Z型），构件为可调托撑时，承载力设计值为140kN。</t>
    <phoneticPr fontId="1" type="noConversion"/>
  </si>
  <si>
    <t>5.2 地基承载力计算
5.2.1 可调底座底部地基承载力应满足下列公式要求：
Pk≤fa（5.2.1-1）
Pk=Nk/Ag（5.2.1-2）
式中：Pk——相应于荷载效应标准组合时，立杆基础底面处的平均压力；平均压力（kPa）；
Nk——立杆传至基础顶面的轴向力标准组合值（kN）；
Ag——可调底座底板对应的基础底面积（m²）；
fa——地基承载力特征值（kPa），按现行国家标准《建筑地基基础设计规范》GB 50007的规定确定。
5.2.2 当脚手架搭设在结构楼面上时，应对支撑架体的楼面结构进行承载力验算；当楼面结构承载力不能满足要求时，应采取楼面结构下方设置附加支撑等加固措施。</t>
    <phoneticPr fontId="1" type="noConversion"/>
  </si>
  <si>
    <t>15/16</t>
    <phoneticPr fontId="1" type="noConversion"/>
  </si>
  <si>
    <t>5.3 支撑架计算
5.3.1 立杆轴向力设计值应按下列公式计算：
不组合风荷载时：
N＝γGΣNGk＋γQΣNQk（5.3.1-1）N=γGΣNGk+γQΣNQk（5.3.1-1）
组合风荷载时：
N＝γGΣNGk＋0.9×γQΣNQk（5.3.1-2）N=γGΣNGk+0.9×γQΣNQk（5.3.1-2）
式中：γG——永久荷载分项系数；
γQ——可变荷载分项系数；
N——立杆轴向力设计值（kN）；
ΣNGk——永久荷载标准值产生的立杆轴向力总和（kN）；
ΣNQk——可变荷载标准值产生的立杆轴向力总和（kN）。
5.3.2 立杆计算长度应按下列公式计算，并应取其中的较大值：
l0＝βHηh（5.3.2-1）l0=βHh（5.3.2-1）
l0＝βHηh′＋2ka（5.3.2-2）l0=βHh′+2ka（5.3.2-2）
式中：l0——支架立杆计算长度（m）；
a——可调托撑支撑点至顶层水平杆中心线的距离（m），满堂作业架取0；
h——架体步距（m），取最大值；
h′——架体顶层步距（m）；
η——立杆计算长度修正系数，h＝0.5m或1.0m时，取值1.5；h＝1.5m时，取值1.05；
γ——架体顶层步距修正系数，h′＝1.0m或1.5m时，取值0.9；h′＝0.5m时，取值1.5；
βH——支撑架搭设高度调整系数，按表5.3.2采用；
k——支撑架悬臂端计算长度折减系数，取值0.6。
【表5.3.2 支撑脚手架搭设高度调整系数】本表规定了不同搭设高度条件下支撑脚手架搭设高度调整系数βH的取值：
（1）当搭设高度H≤8m时，支撑脚手架搭设高度调整系数βH为1.00；
（2）当搭设高度8m＜H≤16m时，支撑脚手架搭设高度调整系数βH为1.05；
（3）当搭设高度16m＜H≤24m时，支撑脚手架搭设高度调整系数βH为1.10；
（4）当搭设高度H＞24m时，支撑脚手架搭设高度调整系数βH为1.20。</t>
    <phoneticPr fontId="1" type="noConversion"/>
  </si>
  <si>
    <t>5.3.3 立杆稳定性应按下列公式计算：
不组合风荷载时：
N/(φA)≤f（5.3.3-1）N/（φA）≤f（5.3.3-1）
组合风荷载时：
N/(φA)+Mw/W≤f（5.3.3-2）N/（φA）+Mw/W≤f（5.3.3-2）
式中：Mw——立杆段由风荷载设计值产生的弯矩（kN·m），按本标准式（5.4.2-2）计算；
f——钢材的抗拉、抗压和抗弯强度设计值（N/mm²），按本标准附录B表B.0.1采用；
φ——轴心受压构件稳定系数，根据立杆长细比λ＝l0/i，按本标准附录C取值；
W——立杆的截面模量（mm³），按本标准附录B表B.0.2采用；
A——立杆的横截面面积（mm²），按本标准附录B表B.0.2采用。
5.3.4 支撑架应按混凝土浇筑前和混凝土浇筑时两种工况进行整体抗倾覆计算，整体抗倾覆稳定性应按下式计算：
MR≥γ0MT（5.3.4）
式中：MR——设计荷载下脚手架抗倾覆力矩（kN·m）；
MT——设计荷载下脚手架倾覆力矩（kN·m）
γ0——脚手架结构重要性系数。</t>
    <phoneticPr fontId="1" type="noConversion"/>
  </si>
  <si>
    <t>5.4 作业架计算
5.4.1 当无风荷载时，立杆承载力计算应符合下列规定：
1 立杆轴向力设计值应按下式计算：
N＝γGΣNGk＋γQΣNQk（5.4.1-1）N=γGΣNGk+γQΣNQk（5.4.1-1）
式中：ΣNGk——永久荷载标准值产生的立杆轴向力总和（kN）；
ΣNQk——可变荷载标准值产生的立杆轴向力总和（kN），内外立杆按一纵距（跨）内施工荷载总和的1/2取值。
2 立杆计算长度应按下式计算：
l0＝μh（5.4.1-2）l0=μh（5.4.1-2）
式中：h——脚手架水平杆竖向最大步距（m）；
μ——考虑脚手架整体稳定因素的立杆计算长度系数，按表5.4.1确定。
【表5.4.1 脚手架立杆计算长度系数】本表规定了双排架在不同连墙件布置条件下的立杆计算长度系数μ：
（1）当连墙件布置为2步3跨时，立杆计算长度系数μ为1.45；
（2）当连墙件布置为3步3跨时，立杆计算长度系数μ为1.70。
3 立杆稳定性应按本标准式（5.3.3-1）计算。</t>
    <phoneticPr fontId="1" type="noConversion"/>
  </si>
  <si>
    <t>18/18</t>
    <phoneticPr fontId="1" type="noConversion"/>
  </si>
  <si>
    <t>5.4.2 当采用组合风荷载时，立杆承载力计算应符合下列规定：
1 立杆轴向力设计值应按下式计算：
N＝γGΣNGk＋0.9×γQΣNQk（5.4.2-1）N=γGΣNGk+0.9×γQΣNQk（5.4.2-1）
2 立杆段风荷载作用弯矩设计值应按下式计算：
Mw＝0.9×1.5Mwk＝0.9×1.5wk la h²/10（5.4.2-2）Mw=0.9×1.5Mwk=0.9×1.5wk la h²/10（5.4.2-2）
3 立杆稳定性应按下式计算：
N/(φA)+Mw/W≤f（5.4.2-3）N/（φA）+Mw/W≤f（5.4.2-3）
式中：ΣNGk——永久荷载标准值产生的立杆轴向力总和（kN）；
ΣNQk——可变荷载标准值产生的立杆轴向力总和（kN），内外立杆按一纵距（跨）内施工荷载总和的1/2取值；
Mwk——立杆段由风荷载标准值产生的弯矩（kN·m）；
la——立杆纵距（m）。</t>
    <phoneticPr fontId="1" type="noConversion"/>
  </si>
  <si>
    <t>5.4.3 连墙件的计算应符合下列规定：
1 连墙件的轴向力设计值应按下式计算：
Nl＝Nlw＋N0（5.4.3-1）Nl=Nlw+N0（5.4.3-1）
式中：Nl——连墙件轴向力设计值（kN）；
Nlw——风荷载产生的连墙件轴向力设计值，按本标准第5.4.4条的规定计算；
N0——连墙件约束脚手架平面外变形所产生的轴向力，双排架取3kN。
2 连墙件的受拉承载力应满足下式要求：
Nl/An≤f（5.4.3-2）
式中：An——连墙件的净截面面积（mm²）。
3 连墙件的稳定性应满足下式要求：
Nl≤φAf（5.4.3-3）En≤φAf（5.4.3-3）
式中：A——连墙件横截面面积（mm²）；
φ——轴心受压构件稳定系数，根据连墙件的长细比按本标准附录C采用。
4 当采用钢管扣件做连墙件时，扣件抗滑承载力的验算应满足下式要求：
Nl≤Rc（5.4.3-4）新≤拉比（5.4.3-4）
式中：Rc——扣件抗滑承载力设计值（kN），一个直角扣件取8.0kN。
5.4.4 由风荷载产生的连墙件轴向力设计值，应按下式计算：
Nlw＝1.5·wk·Ll·Hl（5.4.4）Nlw=1.5·wk·Ll·hl（5.4.4）
式中：wk——风荷载标准值（kN/m²）；
Ll——连墙件水平间距（m）；
Hl——连墙件竖向间距（m）。</t>
    <phoneticPr fontId="1" type="noConversion"/>
  </si>
  <si>
    <t>19/20</t>
    <phoneticPr fontId="1" type="noConversion"/>
  </si>
  <si>
    <t>20/20</t>
    <phoneticPr fontId="1" type="noConversion"/>
  </si>
  <si>
    <t>5.5 构配件计算
5.5.1 盘扣节点连接盘的受剪承载力应满足下式要求：
FR≤Qb（5.5.1）
式中：FR——作用在连接盘上的竖向力设计值（kN）；
Qb——连接盘受剪承载力设计值，取40kN。
5.5.2 当三角架用来抵抗外部作用时，应进行承载力验算；在立杆承载力验算时，应计入由三角架产生的附加弯矩。</t>
    <phoneticPr fontId="1" type="noConversion"/>
  </si>
  <si>
    <t>6.2 支撑架
6.2.1 支撑架的高宽比宜控制在3以内，高宽比大于3的支撑架应采取与既有结构进行刚性连接等抗倾覆措施。
6.2.2 对标准步距为1.5m的支撑架，应根据支撑架搭设高度、支撑架型号及立杆轴向力设计值进行竖向斜杆布置，竖向斜杆布置形式选用应符合表6.2.2的要求。
【表6.2.2-1 标准型（B型）支撑架竖向斜杆布置形式】本表规定了标准型（B型）支撑架在不同立杆轴力设计值及搭设高度条件下的竖向斜杆布置间隔：
（1）当立杆轴力设计值N≤25kN且搭设高度H≤8m时，竖向斜杆布置为间隔3跨；当搭设高度8＜H≤16m时，竖向斜杆布置为间隔3跨；当搭设高度16＜H≤24m时，竖向斜杆布置为间隔2跨；当搭设高度H＞24m时，竖向斜杆布置为间隔1跨；
（2）当立杆轴力设计值25＜N≤40kN且搭设高度H≤8m时，竖向斜杆布置为间隔2跨；当搭设高度8＜H≤16m时，竖向斜杆布置为间隔1跨；当搭设高度16＜H≤24m时，竖向斜杆布置为间隔1跨；当搭设高度H＞24m时，竖向斜杆布置为间隔1跨；
（3）当立杆轴力设计值N＞40kN且搭设高度H≤8m时，竖向斜杆布置为间隔1跨；当搭设高度8＜H≤16m时，竖向斜杆布置为间隔1跨；当搭设高度16＜H≤24m时，竖向斜杆布置为间隔1跨；当搭设高度H＞24m时，竖向斜杆布置为每跨。</t>
    <phoneticPr fontId="1" type="noConversion"/>
  </si>
  <si>
    <t>【表6.2.2-2 重型（Z型）支撑架竖向斜杆布置形式】本表规定了重型（Z型）支撑架在不同立杆轴力设计值及搭设高度条件下的竖向斜杆布置间隔：
（1）当立杆轴力设计值N≤40kN且搭设高度H≤8m时，竖向斜杆布置为间隔3跨；当搭设高度8＜H≤16m时，竖向斜杆布置为间隔3跨；当搭设高度16＜H≤24m时，竖向斜杆布置为间隔2跨；当搭设高度H＞24m时，竖向斜杆布置为间隔1跨；
（2）当立杆轴力设计值40＜N≤65kN且搭设高度H≤8m时，竖向斜杆布置为间隔2跨；当搭设高度8＜H≤16m时，竖向斜杆布置为间隔1跨；当搭设高度16＜H≤24m时，竖向斜杆布置为间隔1跨；当搭设高度H＞24m时，竖向斜杆布置为间隔1跨；
（3）当立杆轴力设计值N＞65kN且搭设高度H≤8m时，竖向斜杆布置为间隔1跨；当搭设高度8＜H≤16m时，竖向斜杆布置为间隔1跨；当搭设高度16＜H≤24m时，竖向斜杆布置为间隔1跨；当搭设高度H＞24m时，竖向斜杆布置为每跨。
【图6.2.2-1 每跨形式支撑架斜杆设置】本示意图说明了支撑架在立面与平面条件下每跨设置竖向斜杆的构造布置方式，立杆沿竖向连续布置，水平杆在各步距位置形成水平连接体系，竖向斜杆在每一跨内沿高度方向连续设置，通过与立杆及水平杆的连接形成空间稳定体系，用于提高支撑架整体稳定性和抗侧向变形能力。</t>
    <phoneticPr fontId="1" type="noConversion"/>
  </si>
  <si>
    <t>【图6.2.2-2 间隔1跨形式支撑架斜杆设置】本示意图说明了支撑架在立面与平面条件下按间隔1跨布置竖向斜杆的构造形式，立杆沿竖向连续设置，水平杆在各步距位置形成水平连接体系，竖向斜杆在相邻两跨中隔跨布置，并在竖向方向连续设置，通过与立杆和水平杆的连接形成空间稳定结构体系，以提高支撑架整体稳定性和抗侧向变形能力。
【图6.2.2-3 间隔2跨形式支撑架斜杆设置】本示意图说明了支撑架在立面与平面条件下按间隔2跨布置竖向斜杆的构造形式，立杆沿竖向连续布置，水平杆在各层步距位置形成整体连接，竖向斜杆每隔两跨设置一组，并沿高度方向连续设置，通过立杆、水平杆与竖向斜杆的协同工作形成空间稳定体系，用于满足较大搭设高度或较高轴力条件下的整体稳定要求。
【图6.2.2-4 间隔3跨形式支撑架斜杆设置】本示意图说明了支撑架在立面与平面条件下按间隔3跨布置竖向斜杆的构造形式，立杆沿竖向连续布置，水平杆在各步距位置形成整体连接，竖向斜杆每隔三跨设置一组，并沿高度方向连续设置，通过立杆、水平杆与竖向斜杆共同形成空间稳定体系，用于满足较低轴力或较小搭设高度条件下的整体稳定要求。</t>
    <phoneticPr fontId="1" type="noConversion"/>
  </si>
  <si>
    <t>21/21</t>
    <phoneticPr fontId="1" type="noConversion"/>
  </si>
  <si>
    <t>6 构造要求
6.1 一般规定
6.1.1 脚手架的构造体系应完整，脚手架应具有整体稳定性。
6.1.2 应根据施工方案计算得出的立杆纵横向间距选用定长的水平杆和斜杆，并应根据搭设高度组合立杆、基座、可调托撑和可调底座。
6.1.3 脚手架搭设步距不应超过2m。
6.1.4 脚手架的竖向斜杆不应采用钢管扣件。
6.1.5 当标准型（B型）立杆荷载设计值大于40kN，或重型（Z型）立杆荷载设计值大于65kN时，脚手架顶层步距应比标准步距缩小0.5m。</t>
    <phoneticPr fontId="1" type="noConversion"/>
  </si>
  <si>
    <t>6.3 作业架
6.3.1 作业架的高宽比宜控制在3以内；当作业架高宽比大于3时，应设置抛撑或缆风绳等抗倾覆措施。
6.3.2 当搭设双排外作业架时或搭设高度24m及以上时，应根据使用要求选择架体几何尺寸，相邻水平杆步距不宜大于2m。
6.3.3 双排外作业架首层立杆宜采用不同长度的立杆交错布置，立杆底部宜配置可调底座或垫板。
6.3.4 当设置双排外作业架人行通道时，应在通道上部架设支撑横梁，横梁截面大小应按跨度以及承受的荷载计算确定，通道两侧作业架应加设斜杆；洞口顶部应铺设封闭的防护板，两侧应设置安全网；通行机动车的洞口，应设置安全警示和防撞设施。
6.3.5 双排外作业架的外侧立面上应设置竖向斜杆，并应符合下列规定：
1 在脚手架的转角处、开口型脚手架端部应由架体底部至顶部连续设置斜杆；
2 应每隔不大于4跨设置一道竖向或斜向连续斜杆；当架体搭设高度在24m以上时，应每隔不大于3跨设置一道竖向斜杆；
3 竖向斜杆应在双排作业架外侧相邻立杆间由底至顶连续设置（图6.3.5）。</t>
    <phoneticPr fontId="1" type="noConversion"/>
  </si>
  <si>
    <t>6.3.6 连墙件的设置应符合下列规定：
1 连墙件应采用可承受拉、压荷载的刚性杆件，并应与建筑主体结构和架体连接牢固；
2 连墙件应靠近水平杆的盘扣节点设置；
3 同一层连墙件宜在同一水平面，水平间距不应大于3跨；连墙件之上架体的悬臂高度不得超过2步；
4 在架体的转角处或开口型双排脚手架的端部应按楼层设。
图6.3.5 斜杆搭设示意
1—斜杆；2—立杆；3—两端竖向斜杆；4—水平杆。
连墙件竖向间距不应大于4m；
5 连墙件宜从底层第一道水平杆处开始设置；
6 连墙件宜采用菱形布置，也可采用矩形布置；
7 连墙点应均匀分布；
8 当脚手架下部不能搭设连墙件时，宜外扩搭设多排脚手架并设置斜杆，形成外侧斜面状附加梯形架。
6.3.7 三角架与立杆连接及接触的地方，应沿三角架长度方向增设水平杆，相邻三角架应连接牢固。</t>
    <phoneticPr fontId="1" type="noConversion"/>
  </si>
  <si>
    <t>6.2.3 当支撑架搭设高度大于16m时，顶层步距内应每跨布置竖向斜杆。
6.2.4 支撑架可调托撑伸出顶层水平杆或双槽托梁中心线的悬臂长度（图6.2.4）不应超过650mm，且丝杆外露长度不应超过400mm，可调托撑插入立杆或双槽托梁长度不得小于150mm。
【图6.2.4 可调托撑伸出顶层水平杆的悬臂长度】本示意图说明了可调托撑与立杆、水平杆及双槽托梁的连接与布置关系，可调托撑通过丝杆进行高度调节，其伸出顶层水平杆或双槽托梁中心线的悬臂长度受到限制，丝杆外露长度受控，以保证支撑架顶部构造的受力安全与整体稳定。
6.2.5 支撑架可调底座丝杆插入立杆长度不得小于150mm，丝杆外露长度不宜大于300mm，作为扫地杆的最底层水平杆中心线距离可调底座的底板不应大于550mm。
6.2.6 当支撑架搭设高度超过8m，周围有既有建筑结构时，应沿高度每间隔4个～6个步距与周围已建成的结构进行可靠拉结。
6.2.7 支撑架应沿高度每间隔4个～6个标准步距应设置水平剪刀撑，并应符合现行行业标准《建筑施工扣件式钢管脚手架安全技术规范》JGJ 130中钢管水平剪刀撑的有关规定。</t>
    <phoneticPr fontId="1" type="noConversion"/>
  </si>
  <si>
    <t>6.2.8 当以独立塔架形式搭设支撑架时，应沿高度每间隔2个～4个步距与相邻的独立塔架水平拉结。
6.2.9 当支撑架架体内设置与单支水平杆同宽的人行通道时，可间隔抽除第一层水平杆和斜杆形成施工人员进出通道，与通道正交的两侧立杆间应设置竖向斜杆；当支撑架架体内设置与单支水平杆不同宽的人行通道时，应在通道上部架设支撑横梁（图6.2.9），横梁的型号及间距应依据荷载确定，通道相邻跨支撑横梁的立杆间距应根据计算设置，通道周围的支撑架应连成整体。洞口顶部应铺设封闭的防护板，相邻跨应设置安全网。通行机动车的洞口，应设置安全警示和防撞设施。
【图6.2.9 支撑架人行通道设置】本示意图说明了支撑架架体内设置人行通道时的构造布置关系，立杆在通道两侧连续设置，通道上方通过支撑横梁形成跨越通道的承重体系，通道底部设置防护设施，整体通过竖向斜杆与周边支撑架连接形成连续稳定结构，以保证人员通行安全及支撑架整体受力与稳定。</t>
    <phoneticPr fontId="1" type="noConversion"/>
  </si>
  <si>
    <t>7 安装与拆除
7.1 施工准备
7.1.1 脚手架施工前应根据施工现场情况、地基承载力、搭设高度编制专项施工方案，并应经审核批准后实施。
7.1.2 操作人员应经过专业技术培训和专业考试合格后，持证上岗。脚手架搭设前，应按专项施工方案的要求对操作人员进行技术和安全作业交底。
7.1.3 经验收合格的构配件应按品种、规格分类码放，并应标挂数量、规格铭牌。构配件堆放场地应排水畅通、无积水。
7.1.4 作业架连墙件、托架、悬挑梁固定螺栓或吊环等预埋件的设置，应按设计要求预埋。
7.1.5 脚手架搭设场地应平整、坚实，并应有排水措施。</t>
    <phoneticPr fontId="1" type="noConversion"/>
  </si>
  <si>
    <t>7.2 施工方案
7.2.1 专项施工方案应包括下列内容：
1 编制依据：相关法律、法规、规范性文件、标准及施工图设计文件、施工组织设计等；
2 工程概况：危险性较大的分部分项工程概况和特点、施工平面布置、施工要求和技术保证条件；
3 施工计划：包括施工进度计划、材料与设备计划；
4 施工工艺技术：技术参数、工艺流程、施工方法、操作要求、检查要求等；
5 施工安全质量保证措施：组织保障措施、技术措施、监测监控措施；
6 施工管理及作业人员配备和分工：施工管理人员、专职安全生产管理人员、特种作业人员、其他作业人员等；
7 验收要求：验收标准、验收程序、验收内容、验收人员等；
8 应急处置措施；
9 计算书及相关施工图纸。</t>
    <phoneticPr fontId="1" type="noConversion"/>
  </si>
  <si>
    <t>7.3 地基与基础
7.3.1 脚手架基础应按专项施工方案进行施工，并应按基础承载力要求进行验收，脚手架应在地基基础验收合格后搭设。
7.3.2 土层地基上的立杆下应采用可调底座和垫板，垫板的长度不宜小于2跨。
7.3.3 当地基高差较大时，可利用立杆节点位差配合可调底座进行调整（图7.3.3）。
【图7.3.3 可调底座调整立杆连接示意】本示意图说明了在地基存在高差条件下，通过设置可调底座对立杆进行高度调整的构造方式，立杆下端通过可调底座与基础接触，连接盘设置于立杆节点位置，水平杆与立杆连接形成稳定体系，通过旋转调节可调底座实现立杆标高调整，以保证脚手架整体受力与稳定性。</t>
    <phoneticPr fontId="1" type="noConversion"/>
  </si>
  <si>
    <t>7.4 支撑架安装与拆除
7.4.1 支撑架立杆搭设位置应按专项施工方案放线确定。
7.4.2 支撑架搭设应根据立杆放置可调底座，应按先立杆后水平杆再斜杆的顺序搭设，形成基本的架体单元，应以此扩展搭设成整体脚手架体系。
7.4.3 可调底座应放置在定位线上，并应保持水平。若需铺设垫板，垫板应平整、无翘曲，不得采用已开裂木垫板。
7.4.4 在多层楼板上连续设置支撑架时，上下层支撑立杆宜在同一轴线上。
7.4.5 支撑架搭设完成后应对架体进行验收，并应确认符合专项施工方案要求后再进入下道工序施工。
7.4.6 可调底座和可调托撑安装完成后，立杆外表面应与可调螺母吻合，立杆外径与螺母台阶内径差不应大于2mm。
7.4.7 水平杆及斜杆插销安装完成后，应采用锤击方法抽查插销，连续下沉量不应大于3mm。
7.4.8 当架体吊装时，立杆间连接应增设立杆连接件。
7.4.9 架体搭设与拆除过程中，可调底座、可调托撑、基座等小型构件宜采用人工传递。吊装作业应由专人指挥信号，不得碰撞架体。
7.4.10 脚手架搭设完成后，立杆的垂直偏差不应大于支撑架总高度的1/500，且不得大于50mm。
7.4.11 拆除作业应按先装后拆、后装先拆的原则进行，应从顶层开始，逐层向下拆除，不得上下同时作业，不应抛掷。
7.4.12 当分段或分立面拆除时，应确定分界处的技术处理方案，分段后架体应稳定。</t>
    <phoneticPr fontId="1" type="noConversion"/>
  </si>
  <si>
    <t>28/28</t>
    <phoneticPr fontId="1" type="noConversion"/>
  </si>
  <si>
    <t>28/29</t>
    <phoneticPr fontId="1" type="noConversion"/>
  </si>
  <si>
    <t>29/29</t>
    <phoneticPr fontId="1" type="noConversion"/>
  </si>
  <si>
    <t>29/30</t>
    <phoneticPr fontId="1" type="noConversion"/>
  </si>
  <si>
    <t>30/31</t>
    <phoneticPr fontId="1" type="noConversion"/>
  </si>
  <si>
    <t>31/31</t>
    <phoneticPr fontId="1" type="noConversion"/>
  </si>
  <si>
    <t>7.5 作业架安装与拆除
7.5.1 作业架立杆应定位准确，并应配合施工进度搭设，双排外作业架一次搭设高度不应超过最上层连墙件两步，且自由高度不应大于4m。
7.5.2 双排外作业架连墙件应随脚手架高度上升，在规定位置处同步设置，不得滞后安装和任意拆除。
7.5.3 作业层设置应符合下列规定：
1 应满铺脚手板；
2 双排外作业架外侧应设挡脚板和防护栏杆，防护栏杆可在每层作业面立杆的0.5m和1.0m的连接盘处布置两道水平杆，并应在外侧满挂密目安全网；
3 作业层与主体结构间的空隙应设置水平防护网；
4 当采用钢脚手板时，钢脚手板的挂钩应稳固扣在水平杆上，挂钩应处于锁住状态。
7.5.4 加固件、斜杆应与作业架同步搭设。当加固件、斜撑采用扣件钢管时，应符合现行行业标准《建筑施工扣件式钢管脚手架安全技术规范》JGJ 130的有关规定。</t>
    <phoneticPr fontId="1" type="noConversion"/>
  </si>
  <si>
    <t>7.5.5 作业架顶层的外侧防护栏杆高出顶层作业层的高度不应小于1500mm。
7.5.6 当立杆处于受拉状态时，立杆的套管连接接长部位应采用螺栓连接。
7.5.7 作业架应分段搭设、分段使用，应经验收合格后方可使用。
7.5.8 作业架应经单位工程负责人确认并签署拆除许可令后，方可拆除。
7.5.9 当作业架拆除时，应划出安全区，应设置警戒标志，并应派专人看管。
7.5.10 拆除前应清理脚手架上的器具、多余的材料和杂物。
7.5.11 作业架拆除应按先装后拆、后装先拆的原则进行，不应上下同时作业。双排外脚手架连墙件应随脚手架逐层拆除，分段拆除的高度差不应大于两步。当作业条件限制，出现高度差大于两步时，应增设连墙件加固。
7.5.12 拆除至地面的脚手架及构配件应及时检查、维修及保养，并应按品种、规格分类存放。</t>
    <phoneticPr fontId="1" type="noConversion"/>
  </si>
  <si>
    <t>8 检查与验收
8.0.1 对进入施工现场的脚手架构配件的检查与验收应符合下列规定：
1 应有脚手架产品标识及产品质量合格证、型式检验报告；
2 应有脚手架产品主要技术参数及产品使用说明书；
3 当对脚手架及构件质量有疑问时，应进行质量抽检和整架试验。
8.0.2 当出现下列情况之一时，支撑架应进行检查与验收：
1 基础完工后及支撑架搭设前；
2 超过8m的高支模每搭设完成6m高度后；
3 搭设高度达到设计高度后和混凝土浇筑前；
4 停用1个月以上，恢复使用前；
5 遇6级及以上强风、大雨及冻结的地基土解冻后。
8.0.3 支撑架检查与验收应符合下列规定：
1 基础应符合设计要求，并应平整坚实，立杆与基础间应无松动、悬空现象，底座、支垫应符合规定；
2 搭设的架体应符合设计要求，搭设方法和斜杆、剪刀撑等设置应符合本标准第6章的规定；
3 可调托撑和可调底座伸出水平杆的悬臂长度应符合本标准第6.2.4条、第6.2.5条的规定；
4 水平杆扣接头、斜杆扣接头与连接盘的插销应锁紧。
8.0.4 当出现下列情况之一时，作业架应进行检查和验收：
1 基础完工后及作业架搭设前；
2 首段高度达到6m时；
3 架体随施工进度逐层升高时；
4 搭设高度达到设计高度后；
5 停用1个月以上，恢复使用前；
6 遇6级及以上强风、大雨及冻结的地基土解冻后。</t>
    <phoneticPr fontId="1" type="noConversion"/>
  </si>
  <si>
    <t>8.0.5 作业架检查与验收应符合下列规定：
1 搭设的架体应符合设计要求，斜杆或剪刀撑设置应符合本标准第6章的规定；
2 立杆基础不应有不均匀沉降，可调底座与基础面的接触不应有松动和悬空现象；
3 连墙件设置应符合设计要求，并应与主体结构、架体可靠连接；
4 外侧安全立网、内侧层间水平网的张挂及防护栏杆的设置应齐全、牢固；
5 周转使用的脚手架构配件使用前应进行外观检查，并应作记录；
6 搭设的施工记录和质量检查记录应及时、齐全；
7 水平杆扣接头、斜杆扣接头与连接盘的插销应锁紧。
8.0.6 当支撑架需堆载预压时，应符合下列规定：
1 应编制专项支撑架堆载预压方案，预压前应进行安全技术交底；
2 预压荷载布置应模拟结构物实际荷载分布情况进行分级、对称预压，预压监测及加载分级应符合现行行业标准《钢管满堂支架预压技术规程》JGJ/T 194的有关规定。
8.0.7 支撑架和作业架验收后应形成记录，记录表应符合本标准附录D的要求。</t>
    <phoneticPr fontId="1" type="noConversion"/>
  </si>
  <si>
    <t>32/33</t>
    <phoneticPr fontId="1" type="noConversion"/>
  </si>
  <si>
    <t>33/33</t>
    <phoneticPr fontId="1" type="noConversion"/>
  </si>
  <si>
    <t>9 安全管理与维护
9.0.1 脚手架搭设作业人员应正确佩戴使用安全帽、安全带和防滑鞋。
9.0.2 应执行施工方案要求，遵循脚手架安装及拆除工艺流程。
9.0.3 脚手架使用过程应明确专人管理。
9.0.4 应控制作业层上的施工荷载，不得超过设计值。
9.0.5 如需预压，荷载的分布应与设计方案一致。
9.0.6 脚手架受荷过程中，应按对称、分层、分级的原则进行，不应集中堆载、卸载；并应派专人在安全区域内监测脚手架的工作状态。
9.0.7 脚手架使用期间，不得擅自拆改架体结构杆件或在架体上增设其他设施。
9.0.8 不得在脚手架基础影响范围内进行挖掘作业。
9.0.9 在脚手架上进行电气焊作业时，应有防火措施和专人监护。
9.0.10 脚手架应与架空输电线路保持安全距离，野外空旷地区搭设脚手架应按现行行业标准《施工现场临时用电安全技术规范》JGJ 46的有关规定设置防雷措施。
9.0.11 架体门洞、过车通道，应设置明显警示标识及防超限栏杆。
9.0.12 脚手架工作区域内应整洁卫生，物料码放应整齐有序，通道应畅通。
9.0.13 当遇有重大突发天气变化时，应提前做好防御措施。</t>
    <phoneticPr fontId="1" type="noConversion"/>
  </si>
  <si>
    <t>34/34</t>
    <phoneticPr fontId="1" type="noConversion"/>
  </si>
  <si>
    <t>JGJ/T231-2021_1</t>
    <phoneticPr fontId="1" type="noConversion"/>
  </si>
  <si>
    <t>JGJ/T231-2021_2</t>
  </si>
  <si>
    <t>JGJ/T231-2021_3</t>
  </si>
  <si>
    <t>JGJ/T231-2021_4</t>
  </si>
  <si>
    <t>JGJ/T231-2021_5</t>
  </si>
  <si>
    <t>JGJ/T231-2021_6</t>
  </si>
  <si>
    <t>JGJ/T231-2021_7</t>
  </si>
  <si>
    <t>JGJ/T231-2021_8</t>
  </si>
  <si>
    <t>JGJ/T231-2021_9</t>
  </si>
  <si>
    <t>JGJ/T231-2021_10</t>
  </si>
  <si>
    <t>JGJ/T231-2021_11</t>
  </si>
  <si>
    <t>JGJ/T231-2021_12</t>
  </si>
  <si>
    <t>JGJ/T231-2021_13</t>
  </si>
  <si>
    <t>JGJ/T231-2021_14</t>
  </si>
  <si>
    <t>JGJ/T231-2021_15</t>
  </si>
  <si>
    <t>JGJ/T231-2021_16</t>
  </si>
  <si>
    <t>JGJ/T231-2021_17</t>
  </si>
  <si>
    <t>JGJ/T231-2021_18</t>
  </si>
  <si>
    <t>JGJ/T231-2021_19</t>
  </si>
  <si>
    <t>JGJ/T231-2021_20</t>
  </si>
  <si>
    <t>JGJ/T231-2021_21</t>
  </si>
  <si>
    <t>JGJ/T231-2021_22</t>
  </si>
  <si>
    <t>JGJ/T231-2021_23</t>
  </si>
  <si>
    <t>JGJ/T231-2021_24</t>
  </si>
  <si>
    <t>JGJ/T231-2021_25</t>
  </si>
  <si>
    <t>JGJ/T231-2021_26</t>
  </si>
  <si>
    <t>JGJ/T231-2021_27</t>
  </si>
  <si>
    <t>JGJ/T231-2021_28</t>
  </si>
  <si>
    <t>JGJ/T231-2021_29</t>
  </si>
  <si>
    <t>JGJ/T231-2021_30</t>
  </si>
  <si>
    <t>JGJ/T231-2021_31</t>
  </si>
  <si>
    <t>JGJ/T231-2021_32</t>
  </si>
  <si>
    <t>JGJ/T231-2021_33</t>
  </si>
  <si>
    <t>JGJ/T231-2021_34</t>
  </si>
  <si>
    <t>JGJ/T231-2021_35</t>
  </si>
  <si>
    <t>JGJ/T231-2021_36</t>
  </si>
  <si>
    <t>JGJ/T231-2021_37</t>
  </si>
  <si>
    <t>JGJ/T231-2021_38</t>
  </si>
  <si>
    <t>JGJ/T231-2021_39</t>
  </si>
  <si>
    <t>建筑施工门式钢管脚手架安全技术标准</t>
    <phoneticPr fontId="1" type="noConversion"/>
  </si>
  <si>
    <t>JGJ/T128-2019</t>
    <phoneticPr fontId="1" type="noConversion"/>
  </si>
  <si>
    <t>1 总则
1.0.1 为规范门式钢管脚手架的设计、施工、使用与安全管理，做到安全适用、技术先进、经济合理，制定本标准。
1.0.2 本标准适用于房屋建筑与市政工程施工中采用门架及配件搭设的作业脚手架、支撑架的设计、施工、使用与安全管理。
1.0.3 门式钢管脚手架的设计、施工、使用与安全管理，除应符合本标准外，尚应符合国家现行有关标准的规定。</t>
    <phoneticPr fontId="1" type="noConversion"/>
  </si>
  <si>
    <t>2 术语和符号
2.1 术语
2.1.1 门式钢管脚手架 frame scaffold with steel tubule
以门架、交叉支撑、连接棒、水平架、锁臂、底座等组成基本结构，再以水平加固杆、剪刀撑、扫地杆加固，能承受相应荷载，具有安全防护功能，为建筑施工提供作业条件的一种定型化钢管脚手架。包括门式作业脚手架和门式支撑架。简称门式脚手架。
2.1.2 门式作业脚手架 frame operation scaffold
采用连墙件与建筑物主体结构附着连接，为建筑施工提供作业平台和安全防护的门式钢管脚手架。包括落地作业脚手架、悬挑脚手架、架体构架以门架搭设的建筑施工用附着式升降作业安全防护平台。
2.1.3 门式支撑架 frame shoring scaffold
为建筑施工提供支撑和安全作业平台的门式脚手架。又称满堂架。包括用于装饰装修及设备管道安装的满堂作业架和用于混凝土模板及钢结构安装的满堂支撑架。
2.1.4 门架 frame
门式脚手架的主要构件，其受力杆件为焊接钢管，由立杆、横杆、加强杆及锁销等相互焊接组成的门字形框架式结构件。
2.1.5 配件 accessories
门式脚手架的其他构件，包括连接棒、锁臂、交叉支撑、水平架、挂扣式脚手板、底座、托座。
2.1.6 连接棒 spigot
用于门架立杆竖向组装的连接件，用短钢管制作。</t>
    <phoneticPr fontId="1" type="noConversion"/>
  </si>
  <si>
    <t>2.1.7 交叉支撑 cross bracing
两榀相邻门架纵向连接的交叉拉杆。
2.1.8 锁臂 locking arm
门架立杆组装接头处的拉接件，其两端有圆孔挂于上下榀门架的锁销上。
2.1.9 锁销 locking pin
用于门架组装时挂扣交叉拉杆和锁臂的锁柱，以短圆钢围焊在门架立杆上，其外端有可旋转90°的卡销。
2.1.10 挂扣式脚手板 hanging platform
两端设有防松脱的挂钩，可紧扣在两榀门架横杆上的定型钢制脚手板。
2.1.11 水平架 horizontal bracket
两端设有防松脱的挂钩，可紧扣在两榀门架横梁上的定型水平构件。
2.1.12 调节架 adjust frame
用于调整架体高度的梯形架，其高度为600mm～1200mm，宽度与门架相同。
2.1.13 底座 base plate
安装在门架立杆下端，将力传给基础的构件，分为可调底座和固定底座。又称底托、底撑。
2.1.14 托座 bracket
插放在门架立杆上端，承接上部荷载的构件，分为可调托座和固定托座。又称顶托、顶撑。</t>
    <phoneticPr fontId="1" type="noConversion"/>
  </si>
  <si>
    <t>2.1.15 加固杆 reinforcing tube
用于增强脚手架刚度而设置的杆件，包括剪刀撑、水平加固杆、斜撑杆、扫地杆。
2.1.16 水平加固杆 ledger
设置于架体层间门架的立杆上，用于加强架体水平方向连接、增强架体整体刚度的水平杆件。简称水平杆。
2.1.17 连墙件 tie member
将脚手架与建筑结构可靠连接，并能够传递拉、压力的构件。
2.1.18 门架步距 lift height
门式脚手架竖向相邻两榀门架横杆间的距离。其值为门架高度与连接棒凸环高度之和。
2.1.19 门架跨距 bay span
沿垂直于门架平面方向排列的相邻两榀门架之间的距离，其值为相邻两榀门架立杆中心距离。
2.1.20 门架列距 frame spacing
沿门架平面方向排列的相邻两列门架之间的距离，其值为两列门架中心距离。
2.1.21 脚手架高度 scaffold height
自门架立杆底座下皮至架体顶部栏杆（支撑架为顶部门架水平横杆）上皮之间的垂直距离。</t>
    <phoneticPr fontId="1" type="noConversion"/>
  </si>
  <si>
    <t>2.2 符号
2.2.1 荷载、荷载效应
Fwl——风荷载作用在架体上产生的水平力标准值；
Fwm——风荷载作用在栏杆围挡或模板上产生的水平力标准值；
Gjk——支撑架上集中堆放的物料自重标准值；
M——水平杆弯矩设计值；
∑MGjk——门式支撑架受弯杆件由永久荷载产生的弯矩标准值总和；
Mmax——型钢悬挑梁计算截面最大弯矩设计值；
MQlk——门式支撑架受弯杆件由可变荷载产生的各弯矩标准值中的最大值；
∑MQlk——门式支撑架受弯杆件由可变荷载产生的弯矩标准值总和；
Mw——风荷载作用于门架引起的立杆弯矩设计值；
Mwk——风荷载作用于门架引起的立杆弯矩标准值；
Mwq——门式支撑架在风荷载作用下的倾覆力矩标准值；
N——作用于一榀门架立杆的轴向力设计值；
Nd——一榀门架的稳定承载力设计值；
No——连墙件约束门式作业脚手架平面外变形所产生的轴向力设计值；
NG1k——每米高度架体构配件自重产生的轴向力标准值；
NG2k——每米高度架体附件自重产生的轴向力标准值；
∑NG1k——构配件、附件自重产生的一榀门架立杆轴向力标准值总和；
∑NG2k——建筑结构件自重产生的一榀门架立杆轴向力标准值总和；
Nk——作用于一榀门架立杆的轴向力标准值；
Nl——风荷载及其他作用对连墙件产生的轴向力设计值；
Nm——型钢悬挑梁锚固段压点U型钢筋拉环或螺栓拉力设计值；
∑NQk1——施工荷载产生的一榀门架立杆轴向力标准值总和；
∑NQk2——其他可变荷载产生的一榀门架立杆轴向力标准值总和；</t>
    <phoneticPr fontId="1" type="noConversion"/>
  </si>
  <si>
    <t>∑NQik——作用于一榀门架的各层施工荷载标准值总和；
Nv——连墙件与脚手架、连墙件与建筑结构连接的抗拉（压）承载力设计值；
Nw——风荷载作用于连墙件的轴向力设计值；
Nwm——风荷载作用在支撑架上而引起一榀门架双立杆的最大附加轴力标准值；
P——一榀门架立杆基础底面的平均压力值；
q——型钢梁自重线荷载标准值；
qk1——均匀分布的架体自重面荷载标准值；
qk2——均匀分布的支撑架上模板等物料自重面荷载标准值；
Rc——扣件抗滑承载力设计值；
wk——风荷载标准值；
wkf——架体的风荷载标准值；
wkm——栏杆围挡或模板的风荷载标准值；
w0——基本风压值；
vmax——型钢悬挑梁的最大挠度；
σ——应力值。</t>
    <phoneticPr fontId="1" type="noConversion"/>
  </si>
  <si>
    <t>2.2.2 材料、构件计算指标
E——钢材弹性模量；
f——钢材的抗拉、抗压和抗弯强度设计值；
fa——修正后的地基承载力特征值；
fak——地基承载力特征值；
fl——U型钢筋拉环或螺栓的抗拉强度设计值；
[vT]——型钢悬挑梁挠度允许值。
2.2.3 几何参数
A——一榀门架立杆或连墙件的毛截面积；
A1——门架单根立杆的毛截面积；
A2——门架立杆加强杆的毛截面积；
Ac——连墙件的净截面积、带螺纹的连墙件有效截面积；
An——挡风面积；
Aw——迎风面积；
Ad——一榀门架立杆底座底面积；
Al——U型钢筋拉环的净截面积或螺栓的有效截面积；
B——门式支撑架宽度；
b——门架宽度；
b2——门架立杆和立杆加强杆的中心距；
bj——集中堆放的物料至倾覆原点的水平距离；
H——门式脚手架的搭设高度；</t>
    <phoneticPr fontId="1" type="noConversion"/>
  </si>
  <si>
    <t>H1——连墙件竖向间距；
Hm——架体上部模板或栏杆围挡高度；
Hd——门式作业脚手架搭设高度；
h——门式脚手架步距；
h0——门架高度；
h1——门架立杆加强杆的高度；
I——门架立杆换算截面惯性矩或型钢悬挑梁毛截面惯性矩；
I0——门架立杆的毛截面惯性矩；
I1——门架立杆加强杆的毛截面惯性矩；
i——门架立杆换算截面回转半径；
L1——连墙件水平间距；
l——门架跨距；
la——门架列距；
lbj——门架立杆至架体中心的水平距离；
lc——型钢悬挑梁锚固点中心至建筑结构外边缘支承点的距离；
lc1——门架外立杆至建筑结构外边缘支承点的距离；
lc2——门架内立杆至建筑结构外边缘支承点的距离；
n——门式支撑架横向门架立杆数或纵向门架榀数；
W——型钢悬挑梁、门架单根立杆、水平杆毛截面模量；
Wn——型钢悬挑梁净截面模量；
λ——门架立杆换算长细比。</t>
    <phoneticPr fontId="1" type="noConversion"/>
  </si>
  <si>
    <t>2.2.4 计算系数
k——调整系数；
kc——地基承载力修正系数；
μz——风压高度变化系数；
μs——风荷载体型系数；
μst——单排或单列门式支撑架风荷载体型系数；
μstw——门式支撑架整体风荷载体型系数；
Φ——挡风系数；
φ——连墙件、门架立杆的稳定系数；
φb——型钢悬挑梁的整体稳定系数；
γ0——门式脚手架结构重要性系数；
γu——永久荷载和可变荷载分项系数加权平均值；
ξ1——门式作业脚手架风荷载弯矩折减系数；
ξ2——门式支撑架门架立杆由风荷载产生的弯矩折减系数。</t>
    <phoneticPr fontId="1" type="noConversion"/>
  </si>
  <si>
    <t>3 构配件
3.0.1 门架与配件的性能、质量、型号应符合现行行业标准《门式钢管脚手架》JG 13 的规定。
3.0.2 周转使用的门架与配件应按本标准附录A的规定进行质量类别判定与处置。
3.0.3 门架立杆加强杆的长度不应小于门架高度的70%；门架宽度外部尺寸不宜小于800mm；门架高度不宜小于1700mm。
3.0.4 门式脚手架所用门架及配套的钢管应符合现行国家标准《直缝电焊钢管》GB/T 13793或《低压流体输送用焊接钢管》GB/T 3091中规定的普通钢管，其材质应符合现行国家标准《碳素结构钢》GB/T 700中Q235级钢或《低合金高强度结构钢》GB/T 1591中Q345级钢的规定。宜采用规格为φ42mm×2.5mm的钢管，也可采用直径φ48mm×3.5mm的钢管；相应的扣件规格也应分别为φ42mm、φ48mm或φ42mm/φ48mm。钢管外径、壁厚、外形允许偏差应符合表3.0.4的规定。当门架钢管与需进行设计计算的水平杆等钢管壁厚存在负偏差时，应按钢管的实际壁厚进行计算。水平加固杆、剪刀撑、斜撑杆等加固杆件的材质与规格应与门架配套，其承载力不应低于门架立杆。
【表3.0.4 钢管外径、壁厚、外形允许偏差】本表规定了钢管几何尺寸及外形质量允许偏差要求：（1）当钢管直径为26.8mm时，钢管外径允许偏差为±0.5mm，壁厚允许偏差为+0.3mm、-0.2mm，弯曲度限值为1.5mm/m，椭圆度限值为0.38mm，管端端面应与轴线垂直、无毛刺、无机械平头；（2）当钢管直径为42.0mm～48.6mm时，钢管外径允许偏差为±0.5mm，壁厚允许偏差为+0.3mm、-0.2mm，弯曲度限值为1.5mm/m，椭圆度限值为0.38mm，管端端面应与轴线垂直、无毛刺、无机械平头。</t>
    <phoneticPr fontId="1" type="noConversion"/>
  </si>
  <si>
    <t>3.0.5 门架钢管不得接长使用。当门架钢管壁厚存在负偏差时，宜选用热镀锌钢管。
3.0.6 门架与配件规格、型号应统一，应具有良好的互换性，应有生产厂家的标志，其外观质量应符合下列规定：
1 不得使用带有裂纹、折痕、表面明显凹陷、严重锈蚀的钢管；
2 冲压件不得有毛刺、裂纹、明显变形、氧化皮等缺陷；
3 焊接件的焊缝应饱满，焊渣应清除干净，不得有未焊透、夹渣、咬肉、裂纹等缺陷。
3.0.7 当交叉支撑、锁臂、连接棒等配件与门架相连时，应有防止退出松脱的构造，当连接棒与锁臂一起应用时，连接棒可不受此限。水平架、脚手板、钢梯与门架的挂扣连接应有防止脱落的构造。
3.0.8 铸造生产的扣件应采用可锻铸铁或铸钢制作，其质量和性能应符合现行国家标准《钢管脚手架扣件》GB 15831的要求；钢板冲压生产的扣件质量和性能应符合现行国家标准《钢板冲压扣件》GB 24910的要求。连接外径为φ42mm/φ48mm钢管的扣件应有明显标记。</t>
    <phoneticPr fontId="1" type="noConversion"/>
  </si>
  <si>
    <t>3.0.9 底座和托座应经设计计算后加工制作，其材质应符合现行国家标准《碳素结构钢》GB/T 700中Q235级钢或《低合金高强度结构钢》GB/T 1591中Q345级钢的规定，并应符合下列规定：
1 底座和托座的承载力极限值不应小于40kN；
2 底座的钢板厚度不应小于6mm，托座U型钢板厚度不应小于5mm，钢板与螺杆应采用环焊，焊缝高度不应小于钢板厚度，并宜设置加劲板；
3 可调底座和可调托座螺杆直径应与门架立杆钢管直径配套，插入门架立杆钢管内的间隙不应大于2mm；
4 可调底座和可调托座螺杆与可调螺母啮合的承载力应高于可调底座和可调托座的承载力，螺母厚度不应小于30mm，螺母与螺杆的啮合齿数不应少于6扣；
5 可调托座和可调底座螺杆宜采用实心螺杆；当采用空心螺杆时，壁厚不应小于6mm，并应进行承载力试验。
3.0.10 连墙件宜采用钢管或型钢制作，其材质应符合现行国家标准《碳素结构钢》GB/T 700中Q235级钢或《低合金高强度结构钢》GB/T 1591中Q345级钢的规定。
3.0.11 悬挑脚手架的悬挑梁或悬挑桁架应采用型钢制作，其材质应符合现行国家标准《碳素结构钢》GB/T 700中Q235B级钢或《低合金高强度结构钢》GB/T 1591中Q345级钢的规定。用于固定型钢悬挑梁或悬挑桁架的U型钢筋拉环或锚固螺栓材质应符合现行国家标准《钢筋混凝土用钢 第1部分：热轧光圆钢筋》GB 1499.1中HPB300级钢筋的规定。
3.0.12 门架、配件及扣件的计算用表可按本标准附录B的规定采用。</t>
    <phoneticPr fontId="1" type="noConversion"/>
  </si>
  <si>
    <t>10/10</t>
    <phoneticPr fontId="1" type="noConversion"/>
  </si>
  <si>
    <t>4 荷载
4.1 荷载分类
4.1.1 作用于门式脚手架的荷载应分为永久荷载和可变荷载。
4.1.2 门式脚手架的永久荷载应包含下列内容：
1 门式作业脚手架永久荷载：
1）构配件自重：包括门架、连接棒、锁臂、交叉支撑、水平架、水平加固杆、脚手板等自重；悬挑脚手架应包括悬挑梁或悬挑桁架自重荷载；
2）附件自重：包括栏杆、扶手、挡脚板、安全网、剪刀撑、扫地杆及防护设施等自重荷载。
2 门式支撑架永久荷载：
1）支撑架构配件及模板的自重：包括架体、围护、模板及模板支承梁等自重荷载；
2）建筑结构件自重：钢筋、新浇混凝土、钢结构件等自重荷载。
4.1.3 门式脚手架的可变荷载应包括下列内容：
1 门式作业脚手架可变荷载：
1）施工荷载：包括作业层上的施工人员、材料及机具等自重荷载；
2）风荷载。
2 门式支撑架可变荷载：
1）施工荷载：包括作业层上的施工人员、施工人员手持小型工具等自重荷载；
2）其他可变荷载：包括布料机、抹光机、振动器等大型施工机具设备等自重及振动荷载；
3）风荷载。</t>
    <phoneticPr fontId="1" type="noConversion"/>
  </si>
  <si>
    <t>12/12</t>
    <phoneticPr fontId="1" type="noConversion"/>
  </si>
  <si>
    <t>4.2 荷载标准值
4.2.1 门式脚手架的永久荷载标准值的取值，可按现行国家标准《建筑结构荷载规范》GB 50009规定的自重值取为荷载标准值，并应符合下列规定：
1 门架、配件自重的标准值可按本标准附录B第B.0.2条的规定采用。
2 加固杆所用钢管、扣件自重的标准值可按本标准附录B表B.0.3、表B.0.4的规定取用。
3 安全网、竹笆、护栏、脚手板、挡脚板等附件应根据实际情况取其自重值为荷载标准值。
4 门式支撑架的架体、模板及模板支承梁等自重的标准值，应根据实际情况取其自重值为荷载标准值。
5 建筑结构件应按国家现行标准《建筑结构荷载规范》GB 50009和《建筑施工模板安全技术规范》JGJ 162的规定取其自重值为荷载标准值。
4.2.2 当进行门式作业脚手架设计时，施工荷载标准值的取值应符合下列规定：
1 门式作业脚手架作业层上的施工荷载标准值的取值应根据实际情况确定，且不应小于表4.2.2的规定。
【表4.2.2 门式作业脚手架施工荷载标准值】本表规定了不同作业用途下的施工荷载标准值：（1）当用于砌筑工程作业时，施工荷载标准值为3.0kN/m²；（2）当用于其他主体结构工程作业时，施工荷载标准值为2.0kN/m²；（3）当用于装饰装修作业时，施工荷载标准值为2.0kN/m²。
注：斜梯施工荷载标准值取值不小于2kN/m²。
2 当在门式作业脚手架上同时有2个及以上操作层作业时，在同一个门架跨距内各操作层的施工荷载标准值取值不应小于4.0kN/m²。</t>
    <phoneticPr fontId="1" type="noConversion"/>
  </si>
  <si>
    <t>4.2.3 当进行门式支撑架设计时，作业层上的施工荷载标准值的取值应符合下列规定：
1 作业层上的施工荷载标准值的取值应根据实际情况确定，且不应小于表4.2.3的规定。
【表4.2.3 门式支撑架施工荷载标准值】本表规定了不同支撑架类别下的施工荷载标准值：（1）当为混凝土模板支撑架且为一般情况时，施工荷载标准值为2.0kN/m²；（2）当为混凝土模板支撑架且设有水平泵管时，施工荷载标准值为4.0kN/m²；（3）当为钢结构安装支撑架且用于轻钢结构、空间网架结构时，施工荷载标准值为2.0kN/m²；（4）当为钢结构安装支撑架且用于普通钢结构时，施工荷载标准值为3.0kN/m²；（5）当为钢结构安装支撑架且用于重型钢结构时，施工荷载标准值为3.5kN/m²；（6）当为其他情况时，施工荷载标准值不应小于2.0kN/m²。
注：有水平泵管设置时，在泵管设置处3.0m宽度范围内施工荷载标准值取值为4.0kN/m²。
2 支撑架上移动的设备、大型工具等物品应按其自重取值计入可变荷载标准值。
3 支撑架上振动、冲击物体应按其自重乘以动力系数取值计入可变荷载标准值，动力系数可取1.35。
4.2.4 作用于门式脚手架的水平风荷载标准值，应按下式计算：
wk＝μz·μs·w0 （4.2.4）
式中：wk——风荷载标准值（kN/m²）；
w0——基本风压值（kN/m²），按现行国家标准《建筑结构荷载规范》GB 50009的规定取重现期n＝10对应的风压值，且不小于0.2kN/m²；
μz——风压高度变化系数，按现行国家标准《建筑结构荷载规范》GB 50009的规定采用；
μs——风荷载体型系数，按表4.2.4的规定取用。</t>
    <phoneticPr fontId="1" type="noConversion"/>
  </si>
  <si>
    <t>【表4.2.4 门式脚手架风荷载体型系数μs】本表规定了不同围护及支撑形式下的风荷载体型系数：（1）当为全封闭作业脚手架且背靠建筑物为全封闭墙时，体型系数为1.0Φ；（2）当为全封闭作业脚手架且背靠建筑物为敞开、框架和开洞墙时，体型系数为1.3Φ；（3）当为敞开式支撑架整体时，体型系数为μstw；（4）当为敞开式支撑架且为单个门架或单根杆件时，体型系数为μs。
4.2.5 水平风荷载作用在门式支撑架上的水平力，可采用简化方法进行整体侧向力计算（图4.2.5），并应符合下列规定：
【图4.2.5 风荷载沿门架平面内方向作用示意】本示意图说明了风荷载沿门架平面方向作用时，架体整体与计算单元在水平风荷载作用下的受力分布关系、计算单元选取方式以及相关几何参数布置关系。
1 当水平风荷载沿门架平面方向作用时，可取架体的一排横向门架作为计算单元，作用于计算单元架体和栏杆围挡（模板）上的水平力标准值宜按下列公式计算：
Fwf＝lHwkf （4.2.5-1）
Fwm＝lHm wkm （4.2.5-2）
式中：Fwf——风荷载作用在架体上产生的水平力标准值（kN）；
Fwm——风荷载作用在栏杆围挡（模板）上产生的水平力标准值（kN）；
l——门架跨距（m）；
H——门式支撑架搭设高度（m）；
Hm——架体上部模板或栏杆围挡高度（m）；
wkf——架体的风荷载标准值（kN/m²），按本标准式（4.2.4）计算，在计算时，取门式支撑架整体体型系数μstw；
wkm——栏杆围挡（模板）的风荷载标准值（kN/m²），按本标准式（4.2.4）计算。</t>
    <phoneticPr fontId="1" type="noConversion"/>
  </si>
  <si>
    <t>2 当水平风荷载沿垂直于门架平面方向作用时，可取架体的一列纵向门架作为计算单元，作用于计算单元架体和栏杆围挡（模板）上的水平力标准值宜按下列公式计算：
Fwf＝laHwkf （4.2.5-3）
Fwm＝laHm wkm （4.2.5-4）
式中：la——门架列距（m）。
4.2.6 门式支撑架在水平风荷载的作用下，计算单元由风荷载产生的倾覆力矩标准值可按下式计算：
Mwq＝H（1/2Fwf＋Fwm） （4.2.6）
式中：Mwq——门式支撑架计算单元在风荷载作用下的倾覆力矩标准值（kN·m）。
4.2.7 在水平风荷载作用下，门式支撑架计算单元一榀门架立杆产生的附加轴力可按线性分布确定，最大附加轴向力标准值可按下列规定计算：
1 当风荷载沿门架平面方向作用时，一榀门架双立杆的最大附加轴力标准值可按下列公式计算：
当门架立杆等间距时：
Nwm＝12Mwq／n（n＋1）b （4.2.7-1）
当门架立杆不等间距时：
Nwm＝MwqB／∑j=1n lbj² （4.2.7-2）
式中：Nwm——风荷载作用在支撑架上而引起的一榀门架双立杆的最大附加轴力标准值（N）；
b——门架宽度（mm）；
n——支撑架横向门架立杆数；
B——门式支撑架的整体横向宽度（mm）；
lbj——门架立杆至架体中心的水平距离（mm）。
2 当风荷载沿垂直于门架平面方向作用时，一榀门架双立杆的最大附加轴力标准值可按下式计算：
Nwm＝6Mwq／n（n＋1）l （4.2.7-3）
式中：l——门架跨距；
n——支撑架纵向门架榀数。</t>
    <phoneticPr fontId="1" type="noConversion"/>
  </si>
  <si>
    <t>4.3 荷载设计值
4.3.1 当计算门式脚手架的架体或构件的强度、稳定承载力和连接强度时，应采用荷载设计值。
4.3.2 当计算门式脚手架地基承载力和正常使用极限状态的变形时，应采用荷载标准值。
4.3.3 荷载的分项系数取值应符合表4.3.3的规定。
【表4.3.3 荷载分项系数】本表规定了门式脚手架在不同验算项目下永久荷载与可变荷载的分项系数：
（1）当脚手架种类为作业脚手架且验算项目为强度、稳定承载力时，永久荷载分项系数γG为1.2，可变荷载分项系数γQ为1.4；
（2）当脚手架种类为作业脚手架且验算项目为地基承载力时，永久荷载分项系数γG为1.0，可变荷载分项系数γQ为1.0；
（3）当脚手架种类为作业脚手架且验算项目为水平构件挠度时，永久荷载分项系数γG为1.0，可变荷载分项系数γQ为1.0。
续表4.3.3
【表4.3.3 续 荷载分项系数】本表规定了支撑架在不同验算项目下永久荷载与可变荷载的分项系数：
（1）当验算项目为强度、稳定承载力且由可变荷载控制组合时，永久荷载分项系数γG为1.2，可变荷载分项系数γQ为1.4；
（2）当验算项目为强度、稳定承载力且由永久荷载控制组合时，永久荷载分项系数γG为1.35，可变荷载分项系数γQ为1.4；
（3）当验算项目为地基承载力时，永久荷载分项系数γG为1.0，可变荷载分项系数γQ为1.0；
（4）当验算项目为水平构件挠度时，永久荷载分项系数γG为1.0，可变荷载分项系数γQ为1.0；
（5）当验算项目为架体倾覆且为有利情况时，永久荷载分项系数γG为0.9，可变荷载分项系数γQ为0；
（6）当验算项目为架体倾覆且为不利情况时，永久荷载分项系数γG为1.35，可变荷载分项系数γQ为1.4。</t>
    <phoneticPr fontId="1" type="noConversion"/>
  </si>
  <si>
    <t>4.4 荷载效应组合
4.4.1 当进行门式脚手架设计时，应根据正常搭设和使用过程中在架体上可能同时出现的荷载，按承载能力极限状态和正常使用极限状态分别进行荷载效应组合，并应取各自最不利的荷载效应组合进行设计。
4.4.2 对于承载能力极限状态设计，应采用荷载效应的基本组合，并应符合下列规定：
1 当进行门式作业脚手架设计时，荷载效应的基本组合宜按表4.4.2-1的规定采用。
【表4.4.2-1 门式作业脚手架荷载效应的基本组合】本表规定了不同计算项目下的荷载效应基本组合：
（1）当计算项目为悬挑脚手架悬挑支承结构强度、稳定承载力时，荷载效应基本组合为永久荷载＋施工荷载；
（2）当计算项目为门架立杆稳定力时，荷载效应基本组合为永久荷载＋施工荷载＋ψw风荷载；
（3）当计算项目为连墙件强度、稳定承载力时，荷载效应基本组合为风荷载＋N0；
（4）当计算项目为门架立杆地基承载力时，荷载效应基本组合为永久荷载＋施工荷载。
注：N0为连墙件约束架体平面外变形所产生的轴向力设计值；ψw为风荷载组合值系数，取0.6。</t>
    <phoneticPr fontId="1" type="noConversion"/>
  </si>
  <si>
    <t>19/19</t>
    <phoneticPr fontId="1" type="noConversion"/>
  </si>
  <si>
    <t>2 当进行门式支撑架设计时，荷载效应的基本组合宜按表4.4.2-2的规定采用。
【表4.4.2-2 门式支撑架荷载效应的基本组合】本表规定了不同计算项目下的荷载效应基本组合：
（1）当计算项目为水平杆强度且由永久荷载控制的组合时，荷载效应基本组合为永久荷载＋ψc（施工荷载＋其他可变荷载）；
（2）当计算项目为水平杆强度且由可变荷载控制的组合时，荷载效应基本组合为永久荷载＋施工荷载＋ψc其他可变荷载；
（3）当计算项目为门架立杆稳定承载力且由永久荷载控制的组合时，荷载效应基本组合为永久荷载＋ψc施工荷载及其他可变荷载＋ψw风荷载；
（4）当计算项目为门架立杆稳定承载力且由可变荷载控制的组合时，荷载效应基本组合为永久荷载＋施工荷载＋ψc其他可变荷载＋ψw风荷载；
（5）当计算项目为门式支撑架倾覆且进行倾覆验算时，荷载效应基本组合为不利的施工荷载及其他可变荷载＋风荷载；
（6）当计算项目为门架立杆地基承载力时，荷载效应基本组合为永久荷载＋施工荷载及其他可变荷载＋风荷载。
注：表中的“＋”仅表示各项荷载参与组合，而不表示代数相加；ψc为施工荷载及其他可变荷载组合值系数，按现行国家标准《建筑结构荷载规范》GB 50009的规定取值；强度计算项目包括连接强度计算；在室内或无风环境时，立杆稳定承载力计算不组合风荷载。</t>
    <phoneticPr fontId="1" type="noConversion"/>
  </si>
  <si>
    <t>4.4.3 对于正常使用极限状态设计，应按荷载效应的标准组合进行荷载效应组合，并应符合下列规定：
1 当进行门式作业脚手架设计时，荷载效应的标准组合宜按表4.4.3-1的规定采用。
【表4.4.3-1 门式作业脚手架荷载标准组合】本表规定了不同计算项目下的荷载效应标准组合：
（1）当计算项目为脚手板、水平杆挠度时，荷载效应标准组合为永久荷载＋施工荷载；
（2）当计算项目为悬挑脚手架水平型钢悬挑梁挠度时，荷载效应标准组合为永久荷载＋施工荷载。
2 当进行门式支撑架设计时，荷载效应的标准组合宜按表4.4.3-2的规定采用。
【表4.4.3-2 门式支撑架荷载标准组合】本表规定了不同计算项目下的荷载效应标准组合：
（1）当计算项目为水平构件挠度时，荷载效应标准组合为永久荷载＋施工荷载＋其他可变荷载，其中模板支撑架仅取永久荷载。</t>
    <phoneticPr fontId="1" type="noConversion"/>
  </si>
  <si>
    <t>5 设计计算
5.1 一般规定
5.1.1 门式脚手架的设计应采用以概率理论为基础的极限状态设计法，以分项系数设计表达式进行设计，应按承载能力极限状态和正常使用极限状态分别进行设计。
5.1.2 门式脚手架的设计应根据工程结构形式、荷载、地基条件、施工设备、门架构配件尺寸、施工操作要求等条件进行。
5.1.3 门式脚手架的设计应符合下列规定：
1 应具有足够的强度、刚度和稳定性，应能可靠地承受施工过程中的荷载；
2 架体应构造合理、连接牢固、装拆方便，使用安全可靠。
5.1.4 门式脚手架搭设和依附的建筑结构，不得因承受脚手架的荷载而受到损害。必要时应对支撑门式脚手架的建筑结构进行验算，并应采取相应的加固措施。
5.1.5 门式脚手架结构设计应根据门式脚手架种类、搭设高度和荷载采用不同的安全等级。门式脚手架安全等级的划分应符合表5.1.5的规定。
【表5.1.5 门式脚手架的安全等级】本表规定了门式脚手架安全等级的划分条件：
（1）当落地作业脚手架搭设高度大于40m时，悬挑脚手架搭设高度大于20m时，满堂作业架搭设高度大于16m时，或满堂支撑架搭设高度大于8m且不满足Ⅱ级荷载条件时，安全等级为Ⅰ级；
（2）当落地作业脚手架搭设高度不大于40m时，悬挑脚手架搭设高度不大于20m时，满堂作业架搭设高度不大于16m时，或满堂支撑架搭设高度不大于8m且荷载标准值不大于15kN/m²、或不大于20kN/m、或不大于7kN/点时，安全等级为Ⅱ级。</t>
    <phoneticPr fontId="1" type="noConversion"/>
  </si>
  <si>
    <t>5.1.6 在承载能力极限状态设计时，应根据门式脚手架的结构重要性在荷载组合效应的设计值基础上乘以结构重要性系数γ0，结构重要性系数取值应符合表5.1.6的规定。
【表5.1.6 门式脚手架结构重要性系数γ0】本表规定了门式脚手架结构重要性系数的取值：
（1）当门式脚手架安全等级为Ⅰ级时，结构重要性系数γ0取1.1；
（2）当门式脚手架安全等级为Ⅱ级时，结构重要性系数γ0取1.0。
5.1.7 门式脚手架应进行下列设计计算：
1 门式作业脚手架：
1）门架立杆稳定承载力及架体搭设高度；
2）脚手板的强度和挠度；
3）连墙件的强度、稳定承载力和连接强度；
4）门架立杆地基承载力验算；
5）悬挑脚手架的悬挑支承结构强度、稳定承载力及其锚固连接强度。
2 门式支撑架：
1）门架立杆稳定承载力；
2）水平杆强度、挠度；
3）抗倾覆验算（按需求）；
4）门架立杆地基承载力验算。</t>
    <phoneticPr fontId="1" type="noConversion"/>
  </si>
  <si>
    <t>5.1.8 门式作业脚手架宜采用定型挂扣式脚手板。当采用非定型脚手板时，应进行脚手板的强度、刚度计算。
5.1.9 除本标准所列MF1219、MF1017、MF0817系列门架外，其他种类门架立杆换算长细比λ和门架立杆换算截面回转半径i的计算，应根据门架、配件试验和架体结构试验结果经分析确定出计算方法。
5.1.10 钢材的强度设计值与弹性模量应按表5.1.10取值。
【表5.1.10 钢材的强度设计值与弹性模量】本表规定了钢材强度设计值与弹性模量：
（1）当采用Q235级钢钢管时，其抗拉、抗压和抗弯强度设计值为205N/mm²，弹性模量为2.06×10^5N/mm²；
（2）当采用Q235级钢型钢时，其抗拉、抗压和抗弯强度设计值为215N/mm²，弹性模量为2.06×10^5N/mm²；
（3）当采用Q345级钢钢管时，其抗拉、抗压和抗弯强度设计值为300N/mm²，弹性模量为2.06×10^5N/mm²；
（4）当采用Q345级钢型钢时，其抗拉、抗压和抗弯强度设计值为310N/mm²，弹性模量为2.06×10^5N/mm²。</t>
    <phoneticPr fontId="1" type="noConversion"/>
  </si>
  <si>
    <t>5.1.11 门式脚手架的稳定承载力应满足下列条件：
γ0N ≤ Nd （5.1.11-1）
Nd = φAf （5.1.11-2）
式中：
γ0——门式脚手架结构重要性系数；
N——门式脚手架作用于一榀门架立杆的轴向力设计值（N），按本标准的规定计算，并应取较大值；
Nd——一榀门架的稳定承载力设计值（N）；
φ——门架立杆的稳定系数，根据门架立杆换算长细比λ值，按本标准附录B表B.0.6取值；对于本标准所确定的门架种类，也可按本标准附录B第B.0.5条规定取值；
A——一榀门架立杆的毛截面面积（mm²），A＝2A1；
A1——门架单根立杆的毛截面面积（mm²）；
f——门架立杆钢材的抗压强度设计值（N/mm²）。</t>
    <phoneticPr fontId="1" type="noConversion"/>
  </si>
  <si>
    <t>22/23</t>
    <phoneticPr fontId="1" type="noConversion"/>
  </si>
  <si>
    <r>
      <t>5.2 门式作业脚手架计算
5.2.1 当进行门式作业脚手架设计时，门架的稳定承载力应按下列公式计算：
1 无风环境时：
γ</t>
    </r>
    <r>
      <rPr>
        <sz val="12"/>
        <color theme="1"/>
        <rFont val="Cambria Math"/>
        <family val="2"/>
        <charset val="1"/>
      </rPr>
      <t>₀</t>
    </r>
    <r>
      <rPr>
        <sz val="12"/>
        <color theme="1"/>
        <rFont val="等线"/>
        <family val="2"/>
        <charset val="134"/>
        <scheme val="minor"/>
      </rPr>
      <t>N/φA ≤ f （5.2.1-1）
2 有风环境时：
γ</t>
    </r>
    <r>
      <rPr>
        <sz val="12"/>
        <color theme="1"/>
        <rFont val="Cambria Math"/>
        <family val="2"/>
        <charset val="1"/>
      </rPr>
      <t>₀</t>
    </r>
    <r>
      <rPr>
        <sz val="12"/>
        <color theme="1"/>
        <rFont val="等线"/>
        <family val="2"/>
        <charset val="134"/>
        <scheme val="minor"/>
      </rPr>
      <t>N/φA + γ</t>
    </r>
    <r>
      <rPr>
        <sz val="12"/>
        <color theme="1"/>
        <rFont val="Cambria Math"/>
        <family val="2"/>
        <charset val="1"/>
      </rPr>
      <t>₀</t>
    </r>
    <r>
      <rPr>
        <sz val="12"/>
        <color theme="1"/>
        <rFont val="等线"/>
        <family val="2"/>
        <charset val="134"/>
        <scheme val="minor"/>
      </rPr>
      <t>M_w/W ≤ f （5.2.1-2）
式中：N——作用于一榀门架的轴向力设计值（N），按本标准式（5.2.2）计算；
M_w——风荷载作用于门架引起的立杆弯矩设计值（N·mm），按本标准式（5.2.3-1）计算；
W——门架单根主立杆毛截面模量（mm³）。
5.2.2 门式作业脚手架作用于一榀门架立杆的轴向力设计值应按下式计算：
N = 1.2(N_G1k + N_G2k)H + 1.4∑N_Qik （5.2.2）
式中：N_G1k——每米高度架体构配件自重产生的轴向力标准值（N/m）；
N_G2k——每米高度架体附件自重产生的轴向力标准值（N/m）；
H——门式作业脚手架搭设高度（m）；
∑N_Qik——作用于一榀门架的各层施工荷载标准值总和（N）。</t>
    </r>
    <phoneticPr fontId="1" type="noConversion"/>
  </si>
  <si>
    <t>24/24</t>
    <phoneticPr fontId="1" type="noConversion"/>
  </si>
  <si>
    <r>
      <t>5.2.3 风荷载作用于门式作业脚手架引起的门架主立杆弯矩设计值应按下列公式计算：
M_w = 1.4 × 0.6M_wk （5.2.3-1）
M_wk = 0.05ξ</t>
    </r>
    <r>
      <rPr>
        <sz val="12"/>
        <color theme="1"/>
        <rFont val="Cambria Math"/>
        <family val="2"/>
        <charset val="1"/>
      </rPr>
      <t>₁</t>
    </r>
    <r>
      <rPr>
        <sz val="12"/>
        <color theme="1"/>
        <rFont val="等线"/>
        <family val="2"/>
        <charset val="134"/>
        <scheme val="minor"/>
      </rPr>
      <t>w_k lH</t>
    </r>
    <r>
      <rPr>
        <sz val="12"/>
        <color theme="1"/>
        <rFont val="Cambria Math"/>
        <family val="2"/>
        <charset val="1"/>
      </rPr>
      <t>₁</t>
    </r>
    <r>
      <rPr>
        <sz val="12"/>
        <color theme="1"/>
        <rFont val="等线"/>
        <family val="2"/>
        <charset val="134"/>
        <scheme val="minor"/>
      </rPr>
      <t>² （5.2.3-2）
式中：M_wk——风荷载作用于门架引起的立杆弯矩标准值（N·mm）；
ξ</t>
    </r>
    <r>
      <rPr>
        <sz val="12"/>
        <color theme="1"/>
        <rFont val="Cambria Math"/>
        <family val="2"/>
        <charset val="1"/>
      </rPr>
      <t>₁</t>
    </r>
    <r>
      <rPr>
        <sz val="12"/>
        <color theme="1"/>
        <rFont val="等线"/>
        <family val="2"/>
        <charset val="134"/>
        <scheme val="minor"/>
      </rPr>
      <t>——门式作业脚手架风荷载弯矩折减系数，连墙件按2步设置时，取0.25；连墙件按3步设置时，取0.15；
w_k——风荷载标准值（N/mm²）；
l——门架跨距（mm）；
H</t>
    </r>
    <r>
      <rPr>
        <sz val="12"/>
        <color theme="1"/>
        <rFont val="Cambria Math"/>
        <family val="2"/>
        <charset val="1"/>
      </rPr>
      <t>₁</t>
    </r>
    <r>
      <rPr>
        <sz val="12"/>
        <color theme="1"/>
        <rFont val="等线"/>
        <family val="2"/>
        <charset val="134"/>
        <scheme val="minor"/>
      </rPr>
      <t>——连墙件竖向间距（mm）。
5.2.4 门架立杆的换算长细比应按下列公式计算：
λ = kh</t>
    </r>
    <r>
      <rPr>
        <sz val="12"/>
        <color theme="1"/>
        <rFont val="Cambria Math"/>
        <family val="2"/>
        <charset val="1"/>
      </rPr>
      <t>₀</t>
    </r>
    <r>
      <rPr>
        <sz val="12"/>
        <color theme="1"/>
        <rFont val="等线"/>
        <family val="2"/>
        <charset val="134"/>
        <scheme val="minor"/>
      </rPr>
      <t>/i （5.2.4-1）
i = √(I/A</t>
    </r>
    <r>
      <rPr>
        <sz val="12"/>
        <color theme="1"/>
        <rFont val="Cambria Math"/>
        <family val="2"/>
        <charset val="1"/>
      </rPr>
      <t>₁</t>
    </r>
    <r>
      <rPr>
        <sz val="12"/>
        <color theme="1"/>
        <rFont val="等线"/>
        <family val="2"/>
        <charset val="134"/>
        <scheme val="minor"/>
      </rPr>
      <t>) （5.2.4-2）
对于MF1219、MF1017门架：
I = I</t>
    </r>
    <r>
      <rPr>
        <sz val="12"/>
        <color theme="1"/>
        <rFont val="Cambria Math"/>
        <family val="2"/>
        <charset val="1"/>
      </rPr>
      <t>₀</t>
    </r>
    <r>
      <rPr>
        <sz val="12"/>
        <color theme="1"/>
        <rFont val="等线"/>
        <family val="2"/>
        <charset val="134"/>
        <scheme val="minor"/>
      </rPr>
      <t xml:space="preserve"> + I</t>
    </r>
    <r>
      <rPr>
        <sz val="12"/>
        <color theme="1"/>
        <rFont val="Cambria Math"/>
        <family val="2"/>
        <charset val="1"/>
      </rPr>
      <t>₁</t>
    </r>
    <r>
      <rPr>
        <sz val="12"/>
        <color theme="1"/>
        <rFont val="等线"/>
        <family val="2"/>
        <charset val="134"/>
        <scheme val="minor"/>
      </rPr>
      <t>h</t>
    </r>
    <r>
      <rPr>
        <sz val="12"/>
        <color theme="1"/>
        <rFont val="Cambria Math"/>
        <family val="2"/>
        <charset val="1"/>
      </rPr>
      <t>₁</t>
    </r>
    <r>
      <rPr>
        <sz val="12"/>
        <color theme="1"/>
        <rFont val="等线"/>
        <family val="2"/>
        <charset val="134"/>
        <scheme val="minor"/>
      </rPr>
      <t>/h</t>
    </r>
    <r>
      <rPr>
        <sz val="12"/>
        <color theme="1"/>
        <rFont val="Cambria Math"/>
        <family val="2"/>
        <charset val="1"/>
      </rPr>
      <t>₀</t>
    </r>
    <r>
      <rPr>
        <sz val="12"/>
        <color theme="1"/>
        <rFont val="等线"/>
        <family val="2"/>
        <charset val="134"/>
        <scheme val="minor"/>
      </rPr>
      <t xml:space="preserve"> （5.2.4-3）
对于MF0817门架：
I = 1/9[A</t>
    </r>
    <r>
      <rPr>
        <sz val="12"/>
        <color theme="1"/>
        <rFont val="Cambria Math"/>
        <family val="2"/>
        <charset val="1"/>
      </rPr>
      <t>₁</t>
    </r>
    <r>
      <rPr>
        <sz val="12"/>
        <color theme="1"/>
        <rFont val="等线"/>
        <family val="2"/>
        <charset val="134"/>
        <scheme val="minor"/>
      </rPr>
      <t>(A</t>
    </r>
    <r>
      <rPr>
        <sz val="12"/>
        <color theme="1"/>
        <rFont val="Cambria Math"/>
        <family val="2"/>
        <charset val="1"/>
      </rPr>
      <t>₂</t>
    </r>
    <r>
      <rPr>
        <sz val="12"/>
        <color theme="1"/>
        <rFont val="等线"/>
        <family val="2"/>
        <charset val="134"/>
        <scheme val="minor"/>
      </rPr>
      <t>b</t>
    </r>
    <r>
      <rPr>
        <sz val="12"/>
        <color theme="1"/>
        <rFont val="Cambria Math"/>
        <family val="2"/>
        <charset val="1"/>
      </rPr>
      <t>₂</t>
    </r>
    <r>
      <rPr>
        <sz val="12"/>
        <color theme="1"/>
        <rFont val="等线"/>
        <family val="2"/>
        <charset val="134"/>
        <scheme val="minor"/>
      </rPr>
      <t>/(A</t>
    </r>
    <r>
      <rPr>
        <sz val="12"/>
        <color theme="1"/>
        <rFont val="Cambria Math"/>
        <family val="2"/>
        <charset val="1"/>
      </rPr>
      <t>₁</t>
    </r>
    <r>
      <rPr>
        <sz val="12"/>
        <color theme="1"/>
        <rFont val="等线"/>
        <family val="2"/>
        <charset val="134"/>
        <scheme val="minor"/>
      </rPr>
      <t xml:space="preserve"> + A</t>
    </r>
    <r>
      <rPr>
        <sz val="12"/>
        <color theme="1"/>
        <rFont val="Cambria Math"/>
        <family val="2"/>
        <charset val="1"/>
      </rPr>
      <t>₂</t>
    </r>
    <r>
      <rPr>
        <sz val="12"/>
        <color theme="1"/>
        <rFont val="等线"/>
        <family val="2"/>
        <charset val="134"/>
        <scheme val="minor"/>
      </rPr>
      <t>))² + A</t>
    </r>
    <r>
      <rPr>
        <sz val="12"/>
        <color theme="1"/>
        <rFont val="Cambria Math"/>
        <family val="2"/>
        <charset val="1"/>
      </rPr>
      <t>₂</t>
    </r>
    <r>
      <rPr>
        <sz val="12"/>
        <color theme="1"/>
        <rFont val="等线"/>
        <family val="2"/>
        <charset val="134"/>
        <scheme val="minor"/>
      </rPr>
      <t>(A</t>
    </r>
    <r>
      <rPr>
        <sz val="12"/>
        <color theme="1"/>
        <rFont val="Cambria Math"/>
        <family val="2"/>
        <charset val="1"/>
      </rPr>
      <t>₁</t>
    </r>
    <r>
      <rPr>
        <sz val="12"/>
        <color theme="1"/>
        <rFont val="等线"/>
        <family val="2"/>
        <charset val="134"/>
        <scheme val="minor"/>
      </rPr>
      <t>b</t>
    </r>
    <r>
      <rPr>
        <sz val="12"/>
        <color theme="1"/>
        <rFont val="Cambria Math"/>
        <family val="2"/>
        <charset val="1"/>
      </rPr>
      <t>₂</t>
    </r>
    <r>
      <rPr>
        <sz val="12"/>
        <color theme="1"/>
        <rFont val="等线"/>
        <family val="2"/>
        <charset val="134"/>
        <scheme val="minor"/>
      </rPr>
      <t>/(A</t>
    </r>
    <r>
      <rPr>
        <sz val="12"/>
        <color theme="1"/>
        <rFont val="Cambria Math"/>
        <family val="2"/>
        <charset val="1"/>
      </rPr>
      <t>₁</t>
    </r>
    <r>
      <rPr>
        <sz val="12"/>
        <color theme="1"/>
        <rFont val="等线"/>
        <family val="2"/>
        <charset val="134"/>
        <scheme val="minor"/>
      </rPr>
      <t xml:space="preserve"> + A</t>
    </r>
    <r>
      <rPr>
        <sz val="12"/>
        <color theme="1"/>
        <rFont val="Cambria Math"/>
        <family val="2"/>
        <charset val="1"/>
      </rPr>
      <t>₂</t>
    </r>
    <r>
      <rPr>
        <sz val="12"/>
        <color theme="1"/>
        <rFont val="等线"/>
        <family val="2"/>
        <charset val="134"/>
        <scheme val="minor"/>
      </rPr>
      <t>))²] × 0.5h</t>
    </r>
    <r>
      <rPr>
        <sz val="12"/>
        <color theme="1"/>
        <rFont val="Cambria Math"/>
        <family val="2"/>
        <charset val="1"/>
      </rPr>
      <t>₁</t>
    </r>
    <r>
      <rPr>
        <sz val="12"/>
        <color theme="1"/>
        <rFont val="等线"/>
        <family val="2"/>
        <charset val="134"/>
        <scheme val="minor"/>
      </rPr>
      <t>/h</t>
    </r>
    <r>
      <rPr>
        <sz val="12"/>
        <color theme="1"/>
        <rFont val="Cambria Math"/>
        <family val="2"/>
        <charset val="1"/>
      </rPr>
      <t>₀</t>
    </r>
    <r>
      <rPr>
        <sz val="12"/>
        <color theme="1"/>
        <rFont val="等线"/>
        <family val="2"/>
        <charset val="134"/>
        <scheme val="minor"/>
      </rPr>
      <t xml:space="preserve"> （5.2.4-4）
式中：k——调整系数，应按表5.2.4取值；
λ——门架立杆换算长细比，对于本标准所确定的门架种类，可按本标准附录B第B.0.5条规定取值；
i——门架立杆换算截面回转半径（mm），对于本标准所确定的门架种类，可按本标准附录B第B.0.5条规定取值；
I——门架立杆换算截面惯性矩（mm</t>
    </r>
    <r>
      <rPr>
        <sz val="12"/>
        <color theme="1"/>
        <rFont val="Cambria Math"/>
        <family val="2"/>
        <charset val="1"/>
      </rPr>
      <t>⁴</t>
    </r>
    <r>
      <rPr>
        <sz val="12"/>
        <color theme="1"/>
        <rFont val="等线"/>
        <family val="2"/>
        <charset val="134"/>
        <scheme val="minor"/>
      </rPr>
      <t>）；
h</t>
    </r>
    <r>
      <rPr>
        <sz val="12"/>
        <color theme="1"/>
        <rFont val="Cambria Math"/>
        <family val="2"/>
        <charset val="1"/>
      </rPr>
      <t>₀</t>
    </r>
    <r>
      <rPr>
        <sz val="12"/>
        <color theme="1"/>
        <rFont val="等线"/>
        <family val="2"/>
        <charset val="134"/>
        <scheme val="minor"/>
      </rPr>
      <t>——门架高度（mm）；
h</t>
    </r>
    <r>
      <rPr>
        <sz val="12"/>
        <color theme="1"/>
        <rFont val="Cambria Math"/>
        <family val="2"/>
        <charset val="1"/>
      </rPr>
      <t>₁</t>
    </r>
    <r>
      <rPr>
        <sz val="12"/>
        <color theme="1"/>
        <rFont val="等线"/>
        <family val="2"/>
        <charset val="134"/>
        <scheme val="minor"/>
      </rPr>
      <t>——门架立杆加强杆的高度（mm）；
I</t>
    </r>
    <r>
      <rPr>
        <sz val="12"/>
        <color theme="1"/>
        <rFont val="Cambria Math"/>
        <family val="2"/>
        <charset val="1"/>
      </rPr>
      <t>₀</t>
    </r>
    <r>
      <rPr>
        <sz val="12"/>
        <color theme="1"/>
        <rFont val="等线"/>
        <family val="2"/>
        <charset val="134"/>
        <scheme val="minor"/>
      </rPr>
      <t>——门架立杆的毛截面惯性矩（mm</t>
    </r>
    <r>
      <rPr>
        <sz val="12"/>
        <color theme="1"/>
        <rFont val="Cambria Math"/>
        <family val="2"/>
        <charset val="1"/>
      </rPr>
      <t>⁴</t>
    </r>
    <r>
      <rPr>
        <sz val="12"/>
        <color theme="1"/>
        <rFont val="等线"/>
        <family val="2"/>
        <charset val="134"/>
        <scheme val="minor"/>
      </rPr>
      <t>）；
I</t>
    </r>
    <r>
      <rPr>
        <sz val="12"/>
        <color theme="1"/>
        <rFont val="Cambria Math"/>
        <family val="2"/>
        <charset val="1"/>
      </rPr>
      <t>₁</t>
    </r>
    <r>
      <rPr>
        <sz val="12"/>
        <color theme="1"/>
        <rFont val="等线"/>
        <family val="2"/>
        <charset val="134"/>
        <scheme val="minor"/>
      </rPr>
      <t>——门架立杆加强杆的毛截面惯性矩（mm</t>
    </r>
    <r>
      <rPr>
        <sz val="12"/>
        <color theme="1"/>
        <rFont val="Cambria Math"/>
        <family val="2"/>
        <charset val="1"/>
      </rPr>
      <t>⁴</t>
    </r>
    <r>
      <rPr>
        <sz val="12"/>
        <color theme="1"/>
        <rFont val="等线"/>
        <family val="2"/>
        <charset val="134"/>
        <scheme val="minor"/>
      </rPr>
      <t>）。
A</t>
    </r>
    <r>
      <rPr>
        <sz val="12"/>
        <color theme="1"/>
        <rFont val="Cambria Math"/>
        <family val="2"/>
        <charset val="1"/>
      </rPr>
      <t>₁</t>
    </r>
    <r>
      <rPr>
        <sz val="12"/>
        <color theme="1"/>
        <rFont val="等线"/>
        <family val="2"/>
        <charset val="134"/>
        <scheme val="minor"/>
      </rPr>
      <t>——门架单根立杆的毛截面面积（mm²）；
A</t>
    </r>
    <r>
      <rPr>
        <sz val="12"/>
        <color theme="1"/>
        <rFont val="Cambria Math"/>
        <family val="2"/>
        <charset val="1"/>
      </rPr>
      <t>₂</t>
    </r>
    <r>
      <rPr>
        <sz val="12"/>
        <color theme="1"/>
        <rFont val="等线"/>
        <family val="2"/>
        <charset val="134"/>
        <scheme val="minor"/>
      </rPr>
      <t>——门架立杆加强杆的毛截面面积（mm²）；
b</t>
    </r>
    <r>
      <rPr>
        <sz val="12"/>
        <color theme="1"/>
        <rFont val="Cambria Math"/>
        <family val="2"/>
        <charset val="1"/>
      </rPr>
      <t>₂</t>
    </r>
    <r>
      <rPr>
        <sz val="12"/>
        <color theme="1"/>
        <rFont val="等线"/>
        <family val="2"/>
        <charset val="134"/>
        <scheme val="minor"/>
      </rPr>
      <t>——门架立杆和立杆加强杆的中心距（mm）。</t>
    </r>
    <phoneticPr fontId="1" type="noConversion"/>
  </si>
  <si>
    <r>
      <t xml:space="preserve">【表5.2.4 调整系数k】本表规定了门式脚手架搭设高度条件下调整系数k的取值：
（1）当门式脚手架搭设高度≤30m时，调整系数k为1.13；
（2）当门式脚手架搭设高度＞30m且≤45m时，调整系数k为1.17；
（3）当门式脚手架搭设高度＞45m且≤60m时，调整系数k为1.22。
5.2.5 门式作业脚手架的搭设高度应按下列公式计算，并应取其计算结果的较小者：
无风环境时：
H_d = [φAf </t>
    </r>
    <r>
      <rPr>
        <sz val="12"/>
        <color theme="1"/>
        <rFont val="Cambria Math"/>
        <family val="2"/>
      </rPr>
      <t>−</t>
    </r>
    <r>
      <rPr>
        <sz val="12"/>
        <color theme="1"/>
        <rFont val="等线"/>
        <family val="2"/>
        <charset val="134"/>
        <scheme val="minor"/>
      </rPr>
      <t xml:space="preserve"> 1.4γ</t>
    </r>
    <r>
      <rPr>
        <sz val="12"/>
        <color theme="1"/>
        <rFont val="Cambria Math"/>
        <family val="2"/>
        <charset val="1"/>
      </rPr>
      <t>₀</t>
    </r>
    <r>
      <rPr>
        <sz val="12"/>
        <color theme="1"/>
        <rFont val="等线"/>
        <family val="2"/>
        <charset val="134"/>
        <scheme val="minor"/>
      </rPr>
      <t>∑N_Qik] / [1.2γ</t>
    </r>
    <r>
      <rPr>
        <sz val="12"/>
        <color theme="1"/>
        <rFont val="Cambria Math"/>
        <family val="2"/>
        <charset val="1"/>
      </rPr>
      <t>₀</t>
    </r>
    <r>
      <rPr>
        <sz val="12"/>
        <color theme="1"/>
        <rFont val="等线"/>
        <family val="2"/>
        <charset val="134"/>
        <scheme val="minor"/>
      </rPr>
      <t xml:space="preserve">(N_G1k + N_G2k)] （5.2.5-1）
有风环境时：
H_d = [φA(f </t>
    </r>
    <r>
      <rPr>
        <sz val="12"/>
        <color theme="1"/>
        <rFont val="Cambria Math"/>
        <family val="2"/>
      </rPr>
      <t>−</t>
    </r>
    <r>
      <rPr>
        <sz val="12"/>
        <color theme="1"/>
        <rFont val="等线"/>
        <family val="2"/>
        <charset val="134"/>
        <scheme val="minor"/>
      </rPr>
      <t xml:space="preserve"> γ</t>
    </r>
    <r>
      <rPr>
        <sz val="12"/>
        <color theme="1"/>
        <rFont val="Cambria Math"/>
        <family val="2"/>
        <charset val="1"/>
      </rPr>
      <t>₀</t>
    </r>
    <r>
      <rPr>
        <sz val="12"/>
        <color theme="1"/>
        <rFont val="等线"/>
        <family val="2"/>
        <charset val="134"/>
        <scheme val="minor"/>
      </rPr>
      <t xml:space="preserve">M_w/W) </t>
    </r>
    <r>
      <rPr>
        <sz val="12"/>
        <color theme="1"/>
        <rFont val="Cambria Math"/>
        <family val="2"/>
      </rPr>
      <t>−</t>
    </r>
    <r>
      <rPr>
        <sz val="12"/>
        <color theme="1"/>
        <rFont val="等线"/>
        <family val="2"/>
        <charset val="134"/>
        <scheme val="minor"/>
      </rPr>
      <t xml:space="preserve"> 1.4γ</t>
    </r>
    <r>
      <rPr>
        <sz val="12"/>
        <color theme="1"/>
        <rFont val="Cambria Math"/>
        <family val="2"/>
        <charset val="1"/>
      </rPr>
      <t>₀</t>
    </r>
    <r>
      <rPr>
        <sz val="12"/>
        <color theme="1"/>
        <rFont val="等线"/>
        <family val="2"/>
        <charset val="134"/>
        <scheme val="minor"/>
      </rPr>
      <t>∑N_Qik] / [1.2γ</t>
    </r>
    <r>
      <rPr>
        <sz val="12"/>
        <color theme="1"/>
        <rFont val="Cambria Math"/>
        <family val="2"/>
        <charset val="1"/>
      </rPr>
      <t>₀</t>
    </r>
    <r>
      <rPr>
        <sz val="12"/>
        <color theme="1"/>
        <rFont val="等线"/>
        <family val="2"/>
        <charset val="134"/>
        <scheme val="minor"/>
      </rPr>
      <t>(N_G1k + N_G2k)] （5.2.5-2）
式中：H_d——门式作业脚手架搭设高度（m）。</t>
    </r>
    <phoneticPr fontId="1" type="noConversion"/>
  </si>
  <si>
    <t>5.3 连墙件计算
5.3.1 连墙件杆件的强度及稳定承载力应满足下列公式的要求：
1 强度：
σ = N_l/A_c ≤ 0.85f （5.3.1-1）
2 稳定承载力：
N_l/(φA) ≤ 0.85f （5.3.1-2）
N_l = N_w + N_0 （5.3.1-3）
式中：σ——连墙件杆件应力值（N/mm²）；
A_c——连墙件的净截面面积（mm²），带螺纹的连墙件取有效截面面积；
A——连墙件的毛截面面积（mm²）；
N_l——风荷载及其他作用对连墙件产生的轴向力设计值（N）；
N_w——风荷载作用于连墙件的轴向力设计值（N），按本标准式（5.3.2）计算；
φ——连墙件的稳定系数，根据连墙件长细比按本标准附录B表B.0.6取值；
f——连墙件钢材的抗压强度设计值（N/mm²）；
N_0——连墙件约束门式作业脚手架平面外变形所产生的轴向力设计值（N），取3000N。
5.3.2 风荷载作用于连墙件的水平力设计值应按下式计算：
N_w = 1.4w_kL_1H_1 （5.3.2）
式中：L_1——连墙件水平间距（mm）；
H_1——连墙件竖向间距（mm）。
5.3.3 连墙件与作业脚手架、连墙件与建筑结构连接的连接强度应按下式计算：
N_l ≤ N_v （5.3.3）
式中：N_v——连墙件与作业脚手架、连墙件与建筑结构连接的抗拉（压）承载力设计值（kN）。
5.3.4 当采用钢管扣件做连墙件时，扣件抗滑承载力的验算应满足下式要求：
N_l ≤ R_c （5.3.4）
式中：R_c——扣件抗滑承载力设计值（kN），一个直角扣件应取8.0kN。</t>
    <phoneticPr fontId="1" type="noConversion"/>
  </si>
  <si>
    <r>
      <t>5.4 门式支撑架计算
5.4.1 当进行门式支撑架设计计算时，应先确定计算单元，明确荷载传递路径，并应根据实际受力情况绘出计算简图。
5.4.2 门式支撑架可根据建筑结构和荷载变化确定门架的布置方式，并应按门架的不同布置方式分别选取各自有代表性的最不利的门架为计算单元进行计算。
5.4.3 门式支撑架承受荷载的水平杆抗弯强度应按下式计算：
σ = γ</t>
    </r>
    <r>
      <rPr>
        <sz val="12"/>
        <color theme="1"/>
        <rFont val="Cambria Math"/>
        <family val="2"/>
        <charset val="1"/>
      </rPr>
      <t>₀</t>
    </r>
    <r>
      <rPr>
        <sz val="12"/>
        <color theme="1"/>
        <rFont val="等线"/>
        <family val="2"/>
        <charset val="134"/>
        <scheme val="minor"/>
      </rPr>
      <t>M/W ≤ f （5.4.3）
式中：σ——水平杆弯曲应力（N/mm²）；
M——水平杆弯矩设计值（N·mm），按本标准第5.4.4条的规定计算；
W——水平杆毛截面模量（mm³）；
f——钢材抗弯强度设计值（N/mm²）。
5.4.4 水平杆的弯矩设计值应按下列公式计算，并应取较大值：
由可变荷载控制的组合：
M = 1.2∑{i=1}^n M_Gik + 1.4M_Q1k + 1.4×0.7∑{j=2}^m M_Qjk （5.4.4-1）
由永久荷载控制的组合：
M = 1.35∑{i=1}^n M_Gik + 1.4×0.7∑{j=1}^m M_Qjk （5.4.4-2）
式中：∑M_Gik——门式支撑架受弯杆件由永久荷载产生的弯矩标准值总和；
∑M_Qjk——门式支撑架受弯杆件由可变荷载产生的弯矩标准值总和；
M_Q1k——门式支撑架受弯杆件由可变荷载产生的各弯矩标准值中的最大值。</t>
    </r>
    <phoneticPr fontId="1" type="noConversion"/>
  </si>
  <si>
    <t>5.4.5 用于室内装饰装修和管道安装施工的满堂作业架的一榀门架立杆稳定承载力计算，应符合下列规定：
1 一榀门架立杆稳定承载力应按本标准式（5.2.1-1）计算；
2 作用于一榀门架立杆的轴向力设计值，应按本标准式（5.2.2）计算。
5.4.6 用于建筑结构施工的满堂支撑架的一榀门架立杆稳定承载力计算，应符合下列规定：
1 无风环境时，满堂支撑架的一榀门架立杆稳定承载力，应按本标准式（5.2.1-1）计算，门架立杆的轴向力设计值应按本标准第5.4.8条第1款的规定计算；
2 有风环境时，满堂支撑架的一榀门架立杆稳定承载力，应分别按本标准式（5.2.1-1）、式（5.2.1-2）计算，门架立杆轴向力设计值和弯矩设计值计算应符合下列规定：
1）当按本标准式（5.2.1-1）计算时，一榀门架立杆的轴向力设计值应按本标准第5.4.8条第2款的规定计算；
2）当按本标准式（5.2.1-2）计算时，一榀门架立杆轴向力设计值应按本标准第5.4.8条第1款的规定计算；
门架立杆由风荷载产生的弯矩设计值应按本标准第5.4.9条的规定计算。
5.4.7 门式支撑架的一榀门架立杆轴心受压构件稳定系数φ，应根据门架立杆换算长细比λ按本标准附录B表B.0.6取值。</t>
    <phoneticPr fontId="1" type="noConversion"/>
  </si>
  <si>
    <t>5.4.8 建筑结构施工用的满堂支撑架一榀门架立杆轴向力设计值计算应符合下列规定：
1 当无风环境或不组合由风荷载产生的门架立杆附加轴力时，应按下列公式计算，并应取较大值：
由可变荷载控制的组合：
N = 1.2（∑N_Gk1 + ∑N_Gk2） + 1.4（∑N_Qk1 + 0.7∑N_Qk2） （5.4.8-1）
由永久荷载控制的组合：
N = 1.35（∑N_Gk1 + ∑N_Gk2） + 1.4×0.7（∑N_Qk1 + ∑N_Qk2） （5.4.8-2）
2 当有风环境组合由风荷载产生的门架立杆附加轴力时，应按下列公式计算，并应取较大值：
由可变荷载控制的组合：
N = 1.2（∑N_Gk1 + ∑N_Gk2） + 1.4[∑N_Qk1 + 0.7∑N_Qk2 + 0.6N_wn] （5.4.8-3）
由永久荷载控制的组合：
N = 1.35（∑N_Gk1 + ∑N_Gk2） + 1.4[0.7（∑N_Qk1 + ∑N_Qk2） + 0.6N_wn] （5.4.8-4）
式中：N——作用于一榀门架立杆的轴向力设计值（N）；
∑N_Gk1——构配件、附件自重产生的一榀门架立杆轴向力标准值总和（N）；
∑N_Gk2——建筑结构件自重产生的一榀门架立杆轴向力标准值总和（N）；
∑N_Qk1——施工荷载产生的一榀门架立杆轴向力标准值总和（N）；
∑N_Qk2——其他可变荷载产生的一榀门架立杆轴向力标准值总和（N）；
∑N_wn——风荷载作用在支撑架而引起的一榀门架双立杆的最大附加轴力标准值（N），按本标准第4.2.7条的规定计算。</t>
    <phoneticPr fontId="1" type="noConversion"/>
  </si>
  <si>
    <r>
      <t>5.4.9 风荷载作用于门式支撑架立杆所产生的弯矩设计值按本标准式（5.2.3-1）计算，弯矩标准值应按下式计算：
M_wk = ξ</t>
    </r>
    <r>
      <rPr>
        <sz val="12"/>
        <color theme="1"/>
        <rFont val="Cambria Math"/>
        <family val="2"/>
        <charset val="1"/>
      </rPr>
      <t>₂</t>
    </r>
    <r>
      <rPr>
        <sz val="12"/>
        <color theme="1"/>
        <rFont val="等线"/>
        <family val="2"/>
        <charset val="134"/>
        <scheme val="minor"/>
      </rPr>
      <t>w_klh²/10 （5.4.9）
式中：M_wk——风荷载作用于门架引起的立杆弯矩标准值（N·mm）；
w_k——门式支撑架风荷载标准值（N/mm²），以单榀桁架体型系数μ_st按本标准式（4.2.4）计算；
ξ</t>
    </r>
    <r>
      <rPr>
        <sz val="12"/>
        <color theme="1"/>
        <rFont val="Cambria Math"/>
        <family val="2"/>
        <charset val="1"/>
      </rPr>
      <t>₂</t>
    </r>
    <r>
      <rPr>
        <sz val="12"/>
        <color theme="1"/>
        <rFont val="等线"/>
        <family val="2"/>
        <charset val="134"/>
        <scheme val="minor"/>
      </rPr>
      <t>——门式支撑架门架立杆由风荷载产生的弯矩折减系数，取0.5；
l——门架跨距（mm）；
h——门式支撑架步距（mm）。
5.4.10 除混凝土模板门式支撑架以外，室外搭设的门式支撑架在门架立杆轴向力设计值计算时，应计入由风荷载产生的立杆附加轴力；但当同时满足表5.4.10中某一序号条件时，可不计入由风荷载产生的立杆附加轴力。</t>
    </r>
    <phoneticPr fontId="1" type="noConversion"/>
  </si>
  <si>
    <t>【表5.4.10 门式支撑架可不计算风荷载产生的门架立杆附加轴力的条件】本表规定了门式支撑架在不同基本风压值、架体高宽比及作业层上竖向封闭栏杆（模板）高度条件下，可不计算风荷载产生的门架立杆附加轴力的适用条件：
（1）当基本风压值≤0.2kN/m²，且架体高宽比≤2.5，且作业层上竖向封闭栏杆（模板）高度≤1.2m时，可不计算风荷载产生的门架立杆附加轴力；
（2）当基本风压值≤0.3kN/m²，且架体高宽比≤2.0，且作业层上竖向封闭栏杆（模板）高度≤1.2m时，可不计算风荷载产生的门架立杆附加轴力；
（3）当基本风压值≤0.4kN/m²，且架体高宽比≤1.7，且作业层上竖向封闭栏杆（模板）高度≤1.2m时，可不计算风荷载产生的门架立杆附加轴力；
（4）当基本风压值≤0.5kN/m²，且架体高宽比≤1.5，且作业层上竖向封闭栏杆（模板）高度≤1.2m时，可不计算风荷载产生的门架立杆附加轴力；
（5）当基本风压值≤0.6kN/m²，且架体高宽比≤1.3，且作业层上竖向封闭栏杆（模板）高度≤1.2m时，可不计算风荷载产生的门架立杆附加轴力；
（6）当基本风压值≤0.7kN/m²，且架体高宽比≤1.2，且作业层上竖向封闭栏杆（模板）高度≤1.2m时，可不计算风荷载产生的门架立杆附加轴力；
（7）当基本风压值≤0.8kN/m²，且架体高宽比≤1.0，且作业层上竖向封闭栏杆（模板）高度≤1.2m时，可不计算风荷载产生的门架立杆附加轴力；
（8）当按本标准第6.4.3条规定设置了连墙件或采取了其他防倾覆措施时，可不计算风荷载产生的门架立杆附加轴力。</t>
    <phoneticPr fontId="1" type="noConversion"/>
  </si>
  <si>
    <r>
      <t>5.4.11 门式支撑架连墙杆件的强度及稳定承载力应按本标准第5.3.1条的规定进行计算，N_0应取3.0kN，并应符合下列规定：
1 当连墙件用来抵抗水平风荷载时，应按本标准式（5.3.2）计算连墙件所承受的水平风荷载标准值N_w，并应依据连墙件的最大间距和按门式支撑架整体风荷载体型系数μ_stw计算所得的风荷载标准值w_k进行计算；
2 当连墙件用来抵抗其他水平荷载时，N_w应取其他水平荷载标准值；
3 当采用钢管扣箍等形式与建筑结构固定时，尚应对连接节点进行强度计算。
5.4.12 在水平风荷载作用下，宜对门式支撑架的横向进行抗倾覆承载力验算，并应满足下式要求：
B²l_a(q_k1 + q_k2) + 2∑_{j=1}^n G_jkb_j ≥ 3γ</t>
    </r>
    <r>
      <rPr>
        <sz val="12"/>
        <color theme="1"/>
        <rFont val="Cambria Math"/>
        <family val="2"/>
        <charset val="1"/>
      </rPr>
      <t>₀</t>
    </r>
    <r>
      <rPr>
        <sz val="12"/>
        <color theme="1"/>
        <rFont val="等线"/>
        <family val="2"/>
        <charset val="134"/>
        <scheme val="minor"/>
      </rPr>
      <t>M_wq （5.4.12）
式中：B——门式支撑架宽度（mm）；
q_k1——均匀分布的架体自重面荷载标准值（N/mm²）；
q_k2——均匀分布的支撑架上模板等物料自重面荷载标准值（N/mm²）；
G_jk——支撑架上集中堆放的物料自重标准值（N）；
b_j——集中堆放的物料至倾覆原点的水平距离（mm）；
M_wq——门式支撑架在风荷载作用下的倾覆力矩标准值（N·mm）。
5.4.13 当门式支撑架满足下列条件之一时，可不进行风荷载作用下的抗倾覆验算：
1 基本风压值不大于0.3kN/m²，架体高宽比小于2.0，且作业层上竖向封闭栏杆（模板）高度小于1.2m；
2 基本风压值不大于0.5kN/m²，架体高宽比小于1.5，且作业层上竖向封闭栏杆（模板）高度小于1.2m；
3 采取了抗倾覆措施。</t>
    </r>
    <phoneticPr fontId="1" type="noConversion"/>
  </si>
  <si>
    <t>31/32</t>
    <phoneticPr fontId="1" type="noConversion"/>
  </si>
  <si>
    <t>5.5 地基承载力验算
5.5.1 门式脚手架立杆地基承载力应按下列公式进行验算：
p = N_k/A_d ≤ f_a （5.5.1-1）
N_k = N/γ_u （5.5.1-2）
式中：p——门式脚手架一榀门架立杆基础底面的平均压力设计值（kN/m²）；
N_k——作用于一榀门架立杆的轴向力标准值（kN）；
N——作用于一榀门架立杆的轴向力设计值（kN）；
A_d——一榀门架立杆底座底面积（m²），可根据底座实际面积取值，一榀门架双立杆的垫板面积取值不应大于2×0.25m²；
γ_u——永久荷载和可变荷载分项系数加权平均值，当按永久荷载控制组合时，取1.363；当按可变荷载控制组合时，取1.254；
f_a——修正后的地基承载力特征值（kN/m²），按本标准第5.5.3条的规定确定。
5.5.2 地基承载力特征值应按现行国家标准《建筑地基基础设计规范》GB 50007的规定，可由荷载试验或其他原位测试、公式计算并结合工程实践经验等方法综合确定。
5.5.3 当进行门式脚手架地基承载力验算时，应结合地基土的类别、状态等因素对地基承载力特征值进行修正，修正后的地基承载力特征值应按下式计算：
f_a = k_c f_ak （5.5.3）
式中：k_c——地基承载力修正系数，按表5.5.3取值；
f_ak——地基承载力特征值（kN/m²）。
【表5.5.3 地基承载力修正系数】本表规定了不同地基土类别及状态条件下地基承载力修正系数k_c的取值：
（1）当地基土类别为碎石土、砂土且为原状土时，修正系数k_c为0.8；当为分层回填夯实土时，修正系数k_c为0.4；
（2）当地基土类别为粉土、黏土且为原状土时，修正系数k_c为0.7；当为分层回填夯实土时，修正系数k_c为0.5；
（3）当地基土类别为岩石、混凝土时，修正系数k_c为1.0。
5.5.4 对搭设在地下室顶板、楼面等建筑结构上的门式脚手架，应对支承架体的建筑结构进行承载力验算，当不能满足承载力要求时，应采取可靠的加固措施。</t>
    <phoneticPr fontId="1" type="noConversion"/>
  </si>
  <si>
    <r>
      <t>5.6 悬挑脚手架支承结构计算
5.6.1 当采用型钢梁作为悬挑脚手架的支承结构时，应进行下列计算：
1 型钢悬挑梁的抗弯强度、整体稳定承载力和挠度；
2 型钢悬挑梁锚固件及其锚固连接的强度；
3 型钢悬挑梁下建筑结构的承载能力验算。
5.6.2 悬挑脚手架作用于一榀门架上的轴向力设计值N，应根据悬挑脚手架分段搭设高度按本标准式（5.2.2）计算。
5.6.3 型钢悬挑梁的抗弯强度应按下列公式计算：
σ = γ</t>
    </r>
    <r>
      <rPr>
        <sz val="12"/>
        <color theme="1"/>
        <rFont val="Cambria Math"/>
        <family val="2"/>
        <charset val="1"/>
      </rPr>
      <t>₀</t>
    </r>
    <r>
      <rPr>
        <sz val="12"/>
        <color theme="1"/>
        <rFont val="等线"/>
        <family val="2"/>
        <charset val="134"/>
        <scheme val="minor"/>
      </rPr>
      <t>M_max/W_n ≤ f （5.6.3-1）
M_max = N/2(l_c1 + l_c2) + 0.6ql_c1² （5.6.3-2）
式中：σ——型钢悬挑梁应力值（N/mm²）；
M_max——型钢悬挑梁计算截面最大弯矩设计值（N·mm）；
W_n——型钢悬挑梁净截面模量（mm³）；
f——钢材的抗弯强度设计值（N/mm²）；
N——悬挑脚手架作用于一榀门架立杆的轴向力设计值（N）；
l_c1——门架外立杆至建筑结构外边缘支承点的距离（mm），取外立杆中心至楼层板边距离加100mm；
l_c2——门架内立杆至建筑结构外边缘支承点的距离（mm），取内立杆中心至楼层板边距离加100mm；
q——型钢梁自重线荷载标准值（N/mm）。</t>
    </r>
    <phoneticPr fontId="1" type="noConversion"/>
  </si>
  <si>
    <t>33/34</t>
    <phoneticPr fontId="1" type="noConversion"/>
  </si>
  <si>
    <r>
      <t>5.6.4 型钢悬挑梁的整体稳定承载力应按下式验算：
γ</t>
    </r>
    <r>
      <rPr>
        <sz val="12"/>
        <color theme="1"/>
        <rFont val="Cambria Math"/>
        <family val="2"/>
        <charset val="1"/>
      </rPr>
      <t>₀</t>
    </r>
    <r>
      <rPr>
        <sz val="12"/>
        <color theme="1"/>
        <rFont val="等线"/>
        <family val="2"/>
        <charset val="134"/>
        <scheme val="minor"/>
      </rPr>
      <t xml:space="preserve">M_max/(φ_bW) ≤ f （5.6.4）
式中：φ_b——型钢悬挑梁的整体稳定性系数，按现行国家标准《钢结构设计标准》GB 50017的规定采用；
W——型钢悬挑梁毛截面模量（mm³）。
5.6.5 型钢悬挑梁的挠度（图5.6.5）应按下列公式计算：
v_max ≤ [v_T] （5.6.5-1）
v_max = N_k/(12EI)(2l_c1³ + 2l_c2²l_c1 + 2l_c1l_c2² + 3l_c1l_c2² </t>
    </r>
    <r>
      <rPr>
        <sz val="12"/>
        <color theme="1"/>
        <rFont val="Cambria Math"/>
        <family val="2"/>
      </rPr>
      <t>−</t>
    </r>
    <r>
      <rPr>
        <sz val="12"/>
        <color theme="1"/>
        <rFont val="等线"/>
        <family val="2"/>
        <charset val="134"/>
        <scheme val="minor"/>
      </rPr>
      <t xml:space="preserve"> l_c2³) （5.6.5-2）
式中：[v_T]——型钢悬挑梁挠度允许值（mm），取l_c1/200；
v_max——型钢悬挑梁最大挠度（mm）。
【图5.6.5 悬挑脚手架型钢悬挑梁构造与计算示意图】本示意图说明了型钢悬挑梁与建筑主体结构的连接布置关系、支承点位置、门架内外立杆作用位置及荷载传递路径。
5.6.6 悬挑脚手架作用于一榀门架的轴向力标准值，应按下式计算：
N_k = (N_G1k + N_G2k)H + ∑N_Qik （5.6.6）</t>
    </r>
    <phoneticPr fontId="1" type="noConversion"/>
  </si>
  <si>
    <t>34/35</t>
    <phoneticPr fontId="1" type="noConversion"/>
  </si>
  <si>
    <t>5.6.7 将型钢悬挑梁锚固在主体结构上的U型钢筋拉环或螺栓的强度应按下列公式计算：
σ = N_m/A_l ≤ f_l （5.6.7-1）
N_m = N(l_c1 + l_c2)/(2l_c) （5.6.7-2）
式中：σ——U型钢筋拉环或螺栓应力值（N/mm²）；
N_m——型钢悬挑梁锚固段压点U型钢筋拉环或螺栓拉力设计值（N）；
A_l——U型钢筋拉环净截面面积或螺栓的有效截面面积（mm²），一个钢筋拉环或一对螺栓按两个钢筋（螺栓）截面计算；
f_l——U型钢筋拉环或螺栓抗拉强度设计值（N/mm²），按现行国家标准《混凝土结构设计规范》GB 50010的规定取f_l = 50N/mm²。
5.6.8 当型钢悬挑梁锚固段压点处采用2个（对）及以上U型钢筋拉环或螺栓锚固连接时，其钢筋拉环或螺栓的承载能力应乘以0.85的折减系数。
5.6.9 当型钢悬挑梁与建筑结构锚固的压点处楼板未设置上层受力钢筋时，应通过验算在楼板中配置承受负弯矩作用的补强钢筋。
5.6.10 对型钢悬挑梁下建筑结构的混凝土梁（板）应按现行国家标准《混凝土结构设计规范》GB 50010的规定进行混凝土结构承载力验算，当不满足要求时，应采取可靠的加固措施。
5.6.11 当采用型钢桁架下撑式等其他结构形式作为悬挑脚手架的支承结构时，应按现行国家标准《钢结构设计标准》GB 50017、《混凝土结构设计规范》GB 50010的规定，对其结构、构件及与建筑结构的连接进行设计计算。
5.6.12 悬挑脚手架所使用的钢丝绳应采用荷载标准值按容许应力法进行计算，钢丝绳的安全系数应取K_s≥8.0。</t>
    <phoneticPr fontId="1" type="noConversion"/>
  </si>
  <si>
    <t>35/36</t>
    <phoneticPr fontId="1" type="noConversion"/>
  </si>
  <si>
    <t>6 构造要求
6.1 一般规定
6.1.1 配件应与门架配套，在不同架体结构组合工况下，均应使门架连接可靠、方便，不同型号的门架与配件严禁混合使用。
6.1.2 上下榀门架立杆应在同一轴线位置上，门架立杆轴线的对接偏差不应大于2mm。
6.1.3 门式脚手架设置的交叉支撑应与门架立杆上的锁销锁牢，交叉支撑的设置应符合下列规定：
1 门式作业脚手架的外侧应按步满设交叉支撑，内侧宜设置交叉支撑；当门式作业脚手架的内侧不设交叉支撑时，应符合下列规定：
1）在门式作业脚手架内侧应按步设置水平加固杆；
2）当门式作业脚手架按步设置挂扣式脚手板或水平架时，可在内侧的门架立杆上每2步设置一道水平加固杆。
2 门式支撑架应按步在门架的两侧满设交叉支撑。
6.1.4 上下榀门架的组装必须设置连接棒，连接棒插入立杆的深度不应小于30mm，连接棒与门架立杆配合间隙不应大于2mm。
6.1.5 门式脚手架上下榀门架间应设置锁臂。当采用插销式或弹销式连接棒时，可不设锁臂。
6.1.6 底部门架的立杆下端可设置固定底座或可调底座。
6.1.7 可调底座和可调托座插入门架立杆的长度不应小于150mm，调节螺杆伸出长度不应大于200mm。</t>
    <phoneticPr fontId="1" type="noConversion"/>
  </si>
  <si>
    <t>37/37</t>
    <phoneticPr fontId="1" type="noConversion"/>
  </si>
  <si>
    <t>38/39</t>
    <phoneticPr fontId="1" type="noConversion"/>
  </si>
  <si>
    <t>6.1.8 门式脚手架应设置水平加固杆，水平加固杆的构造应符合下列规定：
1 每道水平加固杆均应通长连续设置；
2 水平加固杆应靠近门架横杆设置，应采用扣件与相关门架立杆扣紧；
3 水平加固杆的接长应采用搭接，搭接长度不宜小于1000mm，搭接处宜采用2个及以上旋转扣件扣紧。
6.1.9 门式脚手架应设置剪刀撑，剪刀撑的构造应符合下列规定：
1 剪刀撑斜杆的倾角应为45°～60°；
2 剪刀撑应采用旋转扣件与门架立杆及相关杆件扣紧；
3 每道剪刀撑的宽度不应大于6个跨距，且不应大于9m；也不宜小于4个跨距，且不宜小于6m；
4 每道竖向剪刀撑均应由底至顶连续设置；
5 剪刀撑斜杆的接长应符合本标准第6.1.8条第3款的规定。
【图6.1.9 剪刀撑布置示意】本示意图说明了剪刀撑在架体立面上的布置方式、剪刀撑斜杆的倾角范围、沿架体高度连续设置的构造逻辑以及剪刀撑在水平方向的布置宽度控制要求。
6.1.10 作业人员上下门式脚手架的斜梯宜采用挂扣式钢梯，并宜采用Z字形设置，一个梯段宜跨越两步或三步门架再行转折。当采用垂直挂梯时，应采用护圈式挂梯，并应设置安全锁。
6.1.11 钢梯规格应与门架规格配套，并应与门架挂扣牢固。钢梯应设栏杆扶手和挡脚板。
6.1.12 水平架可由挂扣式脚手板或在门架两侧立杆上设置的水平加固杆代替。
6.1.13 当架上总荷载大于3kN/m²时，门式支撑架宜在顶部门架立杆上设置托座和楞梁，楞梁应具有足够的强度和刚度。当架上总荷载小于或等于3kN/m²时，门式支撑架可通过门架横杆承担和传递荷载。
【图6.1.13 门式支撑架上部设置示意】本示意图说明了门式支撑架在顶部设置托座与楞梁的构造关系、构件布置位置以及荷载由上部构件向门架立杆传递的路径。</t>
    <phoneticPr fontId="1" type="noConversion"/>
  </si>
  <si>
    <t>6.2 门式作业脚手架
6.2.1 门式作业脚手架的搭设高度除应满足设计计算条件外，尚不宜超过表6.2.1的规定。
【表6.2.1 门式作业脚手架搭设高度】本表规定了不同搭设方式及施工荷载标准值条件下门式作业脚手架允许搭设高度：
（1）当搭设方式为落地、密目式安全立网全封闭，且施工荷载标准值≤2.0kN/m²时，搭设高度≤60m；
（2）当搭设方式为落地、密目式安全立网全封闭，且施工荷载标准值＞2.0kN/m²且≤4.0kN/m²时，搭设高度≤45m；
（3）当搭设方式为悬挑、密目式安全立网全封闭，且施工荷载标准值≤2.0kN/m²时，搭设高度≤30m；
（4）当搭设方式为悬挑、密目式安全立网全封闭，且施工荷载标准值＞2.0kN/m²且≤4.0kN/m²时，搭设高度≤24m。
6.2.2 当门式作业脚手架的内侧立杆离墙面净距大于150mm时，应采取内设挑架板或其他隔离防护的安全措施。</t>
    <phoneticPr fontId="1" type="noConversion"/>
  </si>
  <si>
    <t>39/39</t>
    <phoneticPr fontId="1" type="noConversion"/>
  </si>
  <si>
    <t>6.2.3 门式作业脚手架顶端防护栏杆宜高出女儿墙上端或檐口上端1.5m。
6.2.4 门式作业脚手架应在门架的横杆上扣挂水平架，水平架设置应符合下列规定：
1 应在作业脚手架的顶层、连墙件设置层和洞口处顶部设置；
2 当作业脚手架安全等级为Ⅰ级时，应沿作业脚手架高度每步设置一道水平架；当作业脚手架安全等级为Ⅱ级时，应沿作业脚手架高度每两步设置一道水平架；
3 每道水平架均应连续设置。
6.2.5 门式作业脚手架应在架体外侧的门架立杆上设置纵向水平加固杆，应符合下列规定：
1 在架体的顶层、沿架体高度方向不超过4步设置一道，宜在有连墙件的水平层设置；
2 在作业脚手架的转角处、开口型作业脚手架端部的两个跨距内，按步设置。
6.2.6 门式作业脚手架作业层应连续满铺挂扣式脚手板，并应有防止脚手板松动或脱落的措施。当脚手板上有孔洞时，孔洞的内切圆直径不应大于25mm。
6.2.7 门式作业脚手架外侧立面上剪刀撑的设置应符合下列规定：
1 当作业脚手架安全等级为Ⅰ级时，剪刀撑应按下列要求设置：
1）宜在作业脚手架的转角处、开口型端部及中间间隔不超过15m的外侧立面上各设置一道剪刀撑；
2）当在作业脚手架的外侧立面上不设剪刀撑时，应沿架体高度方向每间隔2步～3步在门架内外立杆上分别设置一道水平加固杆。
2 当作业脚手架安全等级为Ⅱ级时，门式作业脚手架外侧立面可不设置剪刀撑。</t>
    <phoneticPr fontId="1" type="noConversion"/>
  </si>
  <si>
    <t>40/40</t>
    <phoneticPr fontId="1" type="noConversion"/>
  </si>
  <si>
    <t>【图6.2.7 安全等级为Ⅰ级时的门式作业脚手架的剪刀撑构造要求】
本示意图说明了安全等级为Ⅰ级时门式作业脚手架剪刀撑的构造与布置要求：
剪刀撑沿脚手架纵向连续设置，形成覆盖整个立面的稳定支撑体系；
剪刀撑斜杆在立面内呈交叉布置，与立杆和水平杆共同构成稳定的空间受力结构；
剪刀撑在纵向分段设置，相邻剪刀撑之间的布置跨度受规定长度限制；
剪刀撑斜杆与地面形成规定夹角，通过节点连接将水平荷载和竖向荷载传递至架体及基础。
6.2.8 门式作业脚手架的底层门架下端应设置纵横向扫地杆。
纵向通长扫地杆应固定在距门架立杆底端不大于200mm处的门架立杆上，
横向扫地杆宜固定在紧靠纵向扫地杆下方的门架立杆上。
6.2.9 在建筑物的转角处，门式作业脚手架内外两侧立杆上应按步水平设置连接杆和斜撑杆，应将转角处的两榀门架连成一体（图6.2.9），并应符合下列规定：
1 连接杆和斜撑杆应采用钢管，其规格应与水平加固杆相同；
【图6.2.9 转角处脚手架连接】
本示意图说明了门式作业脚手架在建筑物转角处的连接构造形式：
转角位置内外两侧门架通过连接杆实现水平向连接，形成整体受力单元；
在转角节点处设置斜撑杆，对门架进行斜向加固，提高转角部位的整体稳定性；
连接杆沿步距方向布置，并与门架立杆可靠连接；
斜撑杆与门架立杆及水平构件构成稳定的三角形受力体系，实现荷载在转角区域的连续传递。</t>
    <phoneticPr fontId="1" type="noConversion"/>
  </si>
  <si>
    <t>41/41</t>
    <phoneticPr fontId="1" type="noConversion"/>
  </si>
  <si>
    <t>2 连接杆和斜撑杆应采用扣件与门架立杆或水平加固杆扣紧；
3 当连接杆与水平加固杆平行时，连接杆的一端应采用不少于2个旋转扣件与平行的水平加固杆扣紧，另一端应采用扣件与垂直的水平加固杆扣紧。
6.2.10 门式作业脚手架应按设计计算和构造要求设置连墙件与建筑结构拉结，连墙件设置的位置和数量应按专项施工方案确定，应按确定的位置设置预埋件，并应符合下列规定：
1 连墙件应采用能承受压力和拉力的构造，并应与建筑结构和架体连接牢固；
2 连墙件应从作业脚手架的首层首步开始设置，连墙点之上架体的悬臂高度不应超过2步；
3 应在门式作业脚手架的转角处和开口型脚手架端部增设连墙件，连墙件的竖向间距不应大于建筑物的层高，且不应大于4.0m。
6.2.11 门式作业脚手架连墙件的设置除应满足本标准的计算要求外，尚应满足表6.2.11的要求。</t>
    <phoneticPr fontId="1" type="noConversion"/>
  </si>
  <si>
    <t>42/42</t>
    <phoneticPr fontId="1" type="noConversion"/>
  </si>
  <si>
    <t>【表6.2.11 连墙件最大间距或最大覆盖面积】
本表规定了门式作业脚手架连墙件在不同脚手架搭设方式和脚手架高度条件下的最大允许间距或每根连墙件的最大覆盖面积：
（1）当脚手架搭设方式为落地、密目式安全网全封闭，且脚手架高度不大于40m时，连墙件竖向间距为3h，连墙件水平间距为3l，每根连墙件覆盖面积不应大于33m²；
（2）当脚手架搭设方式为落地、密目式安全网全封闭，且脚手架高度大于40m时，连墙件竖向间距为2h，连墙件水平间距为3l，每根连墙件覆盖面积不应大于22m²；
（3）当脚手架搭设方式为悬挑、密目式安全网全封闭，且脚手架高度不大于40m时，连墙件竖向间距为3h，连墙件水平间距为3l，每根连墙件覆盖面积不应大于33m²；
（4）当脚手架搭设方式为悬挑、密目式安全网全封闭，且脚手架高度大于40m且不大于60m时，连墙件竖向间距为2h，连墙件水平间距为3l，每根连墙件覆盖面积不应大于22m²；
（5）当脚手架搭设方式为悬挑、密目式安全网全封闭，且脚手架高度大于60m时，连墙件竖向间距为2h，连墙件水平间距为2l，每根连墙件覆盖面积不应大于15m²。
注：1 序号4～6为架体位于地面上高度；
2 按每根连墙件覆盖面积设置连墙件时，连墙件的竖向间距不应大于6m；
3 表中h为步距，l为跨距。</t>
    <phoneticPr fontId="1" type="noConversion"/>
  </si>
  <si>
    <t>43/43</t>
    <phoneticPr fontId="1" type="noConversion"/>
  </si>
  <si>
    <t>6.2.12 连墙件应靠近门架的横杆设置（图6.2.12），并应固定在门架的立杆上。
【图6.2.12 连墙件与门架连接示意】
本示意图说明了连墙件与门式作业脚手架门架的连接构造形式：
连墙件设置在靠近门架横杆的位置，并通过构造连接固定于门架立杆；
连墙件可布置在门架横杆之上或横杆之下，均通过可靠连接将架体与建筑结构形成整体拉结体系；
连墙件与门架立杆的连接方式保证拉结力能够有效传递至架体立杆。
6.2.13 连墙件宜水平设置；当不能水平设置时，与门式作业脚手架连接的一端，应低于与建筑结构连接的一端，连墙杆的坡度宜小于1：3。
6.2.14 门式作业脚手架通道口高度不宜大于2个门架高度，对门式作业脚手架通道口应采取加固措施（图6.2.14），并应符合下列规定：
1 当通道口宽度为一个门架跨距时，在通道口上方的内外侧应设置水平加固杆，水平加固杆应延伸至通道口两侧各一个门架跨距；
2 当通道口宽度为多个门架跨距时，在通道口上方应设置托架梁，并应加强洞口两侧的门架立杆；托架梁及洞口两侧的加强杆应经专门设计和制作；
3 应在通道口内上角设置斜撑杆。</t>
    <phoneticPr fontId="1" type="noConversion"/>
  </si>
  <si>
    <t>【图6.2.14 通道口加固示意图】
本示意图说明了门式作业脚手架通道口在不同通道宽度条件下的加固构造布置方式：
当通道口宽度为一个门架跨距时，在通道口上方的内外侧设置水平加固杆，并通过斜撑杆与架体形成稳定的加固体系；
当通道口宽度为多个门架跨距时，在通道口上方设置托架梁，并配置斜撑杆、水平加固杆及加强杆，对通道口上部架体进行整体加固；
通道口加固构造通过水平构件、斜向构件及托架构件的组合布置，确保通道口部位架体的整体稳定性和承载能力。</t>
    <phoneticPr fontId="1" type="noConversion"/>
  </si>
  <si>
    <t>6.3 悬挑脚手架
6.3.1 悬挑脚手架的悬挑支承结构应根据施工方案布设，其位置宜与门架立杆位置对应，每一跨距宜设置一根型钢悬挑梁，并应按确定的位置设置预埋件。
6.3.2 型钢悬挑梁锚固段长度不宜小于悬挑段长度的1.25倍，悬挑支承点应设置在建筑结构的梁板上，并应根据混凝土的实际强度进行承载能力验算，不得设置在外伸阳台或悬挑楼板上（图6.3.2）。
【图6.3.2 型钢悬挑梁在主体结构上的设置】
本示意图说明了型钢悬挑梁在主体结构上的两种设置形式：
型钢悬挑梁穿墙设置时，悬挑梁通过锚固段压点作用将荷载传递至主体结构梁板，并在锚固位置设置钢垫板及相关构造构件；
型钢悬挑梁在楼面设置时，悬挑梁通过锚固段压点作用与楼板形成受力体系，并通过钢垫板等构造构件实现可靠锚固；
两种设置形式中，悬挑梁的锚固段均通过压点与主体结构形成稳定的受力传递路径，确保悬挑支承结构的整体稳定性。
6.3.3 型钢悬挑梁宜采用双轴对称截面的型钢，型钢截面型号应经设计确定。</t>
    <phoneticPr fontId="1" type="noConversion"/>
  </si>
  <si>
    <t>44/44</t>
    <phoneticPr fontId="1" type="noConversion"/>
  </si>
  <si>
    <t>6.3.4 对锚固型钢悬挑梁的楼板应进行设计验算，当承载力不能满足要求时，应采取在楼板内增配钢筋、对楼板进行反支撑等措施。型钢悬挑梁的锚固段压点宜采用不少于2个（对）预埋U型钢筋拉环或螺栓固定；锚固位置的楼板厚度不应小于100mm，混凝土强度不应低于20MPa。U型钢筋拉环或螺栓应埋设在梁板下排钢筋的上边，用于锚固U型钢筋拉环或螺栓的锚固钢筋应与结构钢筋焊接或绑扎牢固，其锚固长度应符合现行国家标准《混凝土结构设计规范》GB 50010中钢筋锚固的规定（图6.3.4）。
【图6.3.4 型钢悬挑梁与楼板固定】
本示意图说明了型钢悬挑梁与楼板之间的锚固与固定构造形式：
型钢悬挑梁通过锚固螺栓、工字钢及钢垫板等构造构件与建筑结构楼板形成可靠连接；
锚固钢筋通过锚固螺栓或U型钢筋拉环与楼板内钢筋体系连接，将悬挑梁产生的荷载传递至主体结构；
在锚固位置设置钢垫板、角钢及木楔等构造构件，用于分散受力并保证连接节点的稳定性；
锚固构造中采用PVC套管等构件对锚固螺栓进行保护，确保锚固连接的耐久性与可靠性。</t>
    <phoneticPr fontId="1" type="noConversion"/>
  </si>
  <si>
    <t>44/45</t>
    <phoneticPr fontId="1" type="noConversion"/>
  </si>
  <si>
    <t>6.3.5 用于型钢悬挑梁锚固的U型钢筋拉环或螺栓应采用冷弯成型，钢筋直径不应小于16mm。
6.3.6 当型钢悬挑梁与建筑结构采用螺栓钢压板连接固定时，钢压板宽厚尺寸不应小于100mm×10mm；当压板采用角钢时，角钢的规格不应小于63mm×63mm×6mm。
6.3.7 型钢悬挑梁与U型钢筋拉环或螺栓连接应紧固。当采用钢筋拉环连接时，应采用钢楔或硬木楔塞紧；当采用螺栓钢压板连接时，应采用双螺帽拧紧。
6.3.8 悬挑脚手架底层门架立杆与型钢悬挑梁应可靠连接，门架立杆不得滑动或窜动。型钢梁上应设置定位销，定位销的直径不应小于30mm，长度不应小于100mm，并应与型钢梁焊接牢固。门架立杆插入定位销后与门架立杆的间隙不宜大于3mm。
6.3.9 悬挑脚手架的底层门架立杆上应设置纵向通长扫地杆，并应在脚手架的转角处、开口处和中间间隔不超过15m的底层门架上各设置一道单跨距的水平剪刀撑，剪刀撑斜杆应与门架立杆底部扣紧。
6.3.10 在建筑平面转角处（图6.3.10），型钢悬挑梁应经单独设计后设置；架体应按本标准第6.2.9条的规定设置水平连接杆和斜撑杆。</t>
    <phoneticPr fontId="1" type="noConversion"/>
  </si>
  <si>
    <t>45/45</t>
    <phoneticPr fontId="1" type="noConversion"/>
  </si>
  <si>
    <t>【图6.3.10 建筑平面转角处型钢悬挑梁设置】
本示意图说明了建筑平面转角处型钢悬挑梁的布置与构造要求：
在建筑平面转角位置，型钢悬挑梁分别沿两个正交方向布置，并与门式作业脚手架架体形成整体受力体系；
型钢悬挑梁通过水平加固杆、连接杆与架体门架可靠连接，使转角区域架体受力连续；
在转角处设置水平剪刀撑，对悬挑脚手架底层架体进行平面内加固，增强转角部位整体稳定性；
各型钢悬挑梁在转角处的布置应满足对称与协调受力的构造逻辑，确保荷载在转角区域的合理传递。
6.3.11 每个型钢悬挑梁外端宜设置钢拉杆或钢丝绳与上部建筑结构斜拉结（图6.3.11），并应符合下列规定：
1 刚性拉杆可参与型钢悬挑梁的受力计算，钢丝绳不宜参与型钢悬挑梁的受力计算，刚性拉杆与钢丝绳应有张紧措施。刚性拉杆的规格应经设计确定，钢丝绳的直径不宜小于15.5mm。
2 刚性拉杆或钢丝绳与建筑结构拉结的吊环宜采用HPB300级钢筋制作，其直径不宜小于φ18mm，吊环预埋锚固长度应符合现行国家标准《混凝土结构设计规范》GB 50010的规定。
3 钢丝绳绳卡的设置应符合现行国家标准《钢丝绳夹》GB/T 5976的规定，钢丝绳与型钢悬挑梁的夹角不应小于45°。
【图6.3.11 型钢悬挑梁端钢丝绳与建筑结构拉结】
本示意图说明了型钢悬挑梁外端通过钢拉杆或钢丝绳与上部建筑结构进行斜向拉结的构造形式：
型钢悬挑梁外端设置钢拉杆或钢丝绳，并与建筑结构可靠连接形成斜向受力体系；
钢拉杆或钢丝绳通过花篮螺栓等构造进行调节与张紧，确保拉结构件受力有效；
拉结构造保证悬挑梁外端的稳定性，使悬挑梁产生的荷载通过拉结体系传递至建筑结构。
6.3.12 悬挑脚手架的架体结构和构造应符合本标准第6.2节的规定。
6.3.13 悬挑脚手架在底层应满铺脚手板，并应将脚手板固定。</t>
    <phoneticPr fontId="1" type="noConversion"/>
  </si>
  <si>
    <t>46/47</t>
    <phoneticPr fontId="1" type="noConversion"/>
  </si>
  <si>
    <t>6.4 门式支撑架
6.4.1 门式支撑架的搭设高度、门架跨距、门架列距应根据施工现场条件等因素经计算确定，架体的结构构造尺寸宜符合表6.4.1的规定。
【表6.4.1 门式支撑架结构构造尺寸】
本表规定了门式支撑架在不同用途条件下的门架跨距、门架列距、搭设高度及高宽比要求：
（1）当支撑架用途为满堂作业架时，门架跨距不应大于1.8m，门架列距不应大于2.1m，搭设高度不应大于36m，高宽比不应大于4；
（2）当支撑架用途为满堂支撑架时，门架跨距不应大于1.5m，门架列距不应大于1.8m，搭设高度不应大于30m，高宽比不应大于3；
（3）当门式支撑架的高宽比大于2时，应采取侧向稳定措施。
6.4.2 满堂作业架的水平加固杆设置（图6.4.2）应符合下列规定：
1 平行于门架平面的水平加固杆应在架体顶部和沿高度方向不大于4步，在架体外侧和水平方向间隔不大于4个跨距各设置一道；
2 垂直于门架平面的水平加固杆应在架体顶部和沿高度方向不大于4步，在架体外侧和水平方向不大于4步，在架体外侧和水平方向间隔不大于4个列距各设置一道。</t>
    <phoneticPr fontId="1" type="noConversion"/>
  </si>
  <si>
    <t>47/48</t>
    <phoneticPr fontId="1" type="noConversion"/>
  </si>
  <si>
    <t>【图6.4.2 满堂作业架水平加固杆设置示意】
本示意图说明了满堂作业架中水平加固杆、剪刀撑及扫地杆的整体布置关系：
门式支撑架由门架、交叉支撑和水平架构成整体空间结构；
在平行于门架平面方向设置水平加固杆，沿架体高度方向分层布置，并在架体外围形成连续加固体系；
在垂直于门架平面方向设置水平加固杆，与平行方向的水平加固杆相互配合，形成双向加固网络；
架体内部及外侧设置竖向剪刀撑和水平剪刀撑，通过斜向构件增强整体空间稳定性；
底层沿架体周边设置扫地杆，与立杆连接形成稳定的底部约束体系；
各类加固构件在高度方向和水平方向按规定间距布置，确保架体在荷载作用下的整体稳定和受力均匀。
6.4.3 满堂支撑架的水平加固杆设置应符合下列规定：
1 安全等级为Ⅰ级的满堂支撑架，水平加固杆应按下列要求设置：
1）平行于门架平面的水平加固杆应在架体顶部和沿高度方向不大于2步，在架体外侧和水平方向间隔不大于2个跨距各设置一道；
2）垂直于门架平面的水平加固杆应在架体顶部和沿高度方向不大于2步，在架体外侧和水平方向间隔不大于2个列距各设置一道。
2 安全等级为Ⅱ级的满堂支撑架，水平加固杆应按本标准第6.4.2条的要求设置。
3 满堂支撑架水平加固杆的端部宜设置连墙件与建筑结构连接。</t>
    <phoneticPr fontId="1" type="noConversion"/>
  </si>
  <si>
    <t>48/49</t>
    <phoneticPr fontId="1" type="noConversion"/>
  </si>
  <si>
    <t>6.4.4 满堂作业架剪刀撑的设置应符合下列规定（图6.4.4）：
1 安全等级为Ⅰ级的满堂作业架，竖向剪刀撑应按下列要求设置：
【图6.4.4 满堂作业架剪刀撑设置示意】
本示意图说明了满堂作业架在不同安全等级条件下剪刀撑的构造与布置方式：
在安全等级为Ⅰ级时，满堂作业架立面内沿高度方向设置连续竖向剪刀撑，竖向剪刀撑在水平方向的间距不大于4列；
竖向剪刀撑分别沿平行于门架平面方向和垂直于门架平面方向设置，形成双向立面加固体系；
在架体立面内同时设置水平剪刀撑，与竖向剪刀撑共同构成稳定的空间受力体系；
剪刀撑通过与门架立杆、横杆可靠连接，将架体所受的水平荷载有效传递并分散；
各剪刀撑在高度方向和水平方向按规定间距连续布置，确保满堂作业架整体稳定性和刚度满足使用要求。
1）平行于门架平面的竖向剪刀撑应在架体外侧和水平间隔不大于4个跨距各设置一道，每道剪刀撑的宽度宜为4个列距，沿门架平面方向的间隔距离不宜大于4个列距；
2）垂直于门架平面的竖向剪刀撑应在架体外侧每隔4个跨距各设置一道，每道剪刀撑的宽度宜为4个跨距。
2 安全等级为Ⅱ级的满堂作业架，竖向剪刀撑应按本条第1款第1项的要求设置。
3 水平剪刀撑应在架体的顶部和沿高度方向间隔不大于4步连续设置，其相邻斜杆的水平距离宜为10m～12m。</t>
    <phoneticPr fontId="1" type="noConversion"/>
  </si>
  <si>
    <t>49/50</t>
    <phoneticPr fontId="1" type="noConversion"/>
  </si>
  <si>
    <t>6.4.5 满堂支撑架剪刀撑的设置应符合下列规定：
1 安全等级为Ⅰ级的满堂支撑架，竖向剪刀撑应按下列要求设置（图6.4.5）：
【图6.4.5 安全等级为Ⅰ级的满堂支撑架剪刀撑设置示意】
本示意图说明了安全等级为Ⅰ级的满堂支撑架中剪刀撑的构造与布置方式：
在满堂支撑架立面外侧设置竖向剪刀撑，竖向剪刀撑沿水平方向按规定间隔连续布置；
平行于门架平面方向的竖向剪刀撑与垂直于门架平面方向的竖向剪刀撑共同构成立体加固体系；
在架体立面内设置水平剪刀撑，与竖向剪刀撑相互配合，提高架体整体稳定性；
剪刀撑通过与门架立杆及横向构件可靠连接，使架体在荷载作用下形成稳定的空间受力结构。
1）平行于门架平面的竖向剪刀撑应在架体外侧和水平间隔不大于4个跨距各设置一道，每道竖向剪刀撑均应连续设置；
2）垂直于门架平面的竖向剪刀撑应在架体外侧和水平间隔不大于4个列距各设置一道，每道竖向剪刀撑的宽度宜为4个跨距，沿垂直于门架平面方向的间隔距离不宜大于4个跨距。
2 安全等级为Ⅱ级的满堂支撑架，竖向剪刀撑应按本标准第6.4.4条第1款的要求设置。
3 水平剪刀撑应按本标准第6.4.4条第3款的要求设置，但其相邻斜杆的水平距离宜为6m～10m。
6.4.6 在门式支撑架的底层门架立杆上应分别设置纵横向通长扫地杆，并应采用扣件与门架立杆扣紧。</t>
    <phoneticPr fontId="1" type="noConversion"/>
  </si>
  <si>
    <t>50/51</t>
    <phoneticPr fontId="1" type="noConversion"/>
  </si>
  <si>
    <t>6.4.7 门式支撑架应设置水平架对架体进行纵向拉结，水平架的设置应符合下列规定：
1 满堂作业架应在架体顶部及沿高度方向间隔不大于4步的每榀门架上连续设置。
2 满堂支撑架的水平架应按下列要求设置：
1）安全等级为Ⅰ级的满堂支撑架应在架体顶部及沿高度方向间隔不大于2步的每榀门架上连续设置；
2）安全等级为Ⅱ级的满堂支撑架应按本条第1款的要求设置。
6.4.8 对于高宽比大于2的门式支撑架，宜采取设置缆风绳或连墙件等有效措施防止架体倾覆，缆风绳或连墙件设置宜符合下列规定：
1 在架体外侧周边水平间距不宜超过8m，竖向间距不宜超过4步设置一处；宜与竖向剪刀撑或水平加固杆的位置对应设置；
2 当满堂支撑架按本标准第6.4.3条第3款的要求设置了连墙件时，架体可不采取其他防倾覆措施。
6.4.9 满堂作业架顶部作业平台应满铺脚手板，并应采用可靠的连接方式固定。作业平台上的孔洞应按现行行业标准《建筑施工高处作业安全技术规范》JGJ 80的规定防护。作业平台周边应设置栏杆和挡脚板。</t>
    <phoneticPr fontId="1" type="noConversion"/>
  </si>
  <si>
    <t>51/51</t>
    <phoneticPr fontId="1" type="noConversion"/>
  </si>
  <si>
    <t>6.4.10 当门式支撑架中间设置通道口时，通道口底层门架可不设垂直通道方向的水平加固杆和扫地杆，通道口上部两侧应设置斜撑杆，并应按现行行业标准《建筑施工高处作业安全技术规范》JGJ 80的规定在通道口上部设置防护层。
6.4.11 门式支撑架宜采用调节架、可调底座和可调托座调整高度。底座和托座与门架立杆轴线的偏差不应大于2.0mm。
6.4.12 用于支承混凝土梁模板的门式支撑架，门架可采用平行或垂直于梁轴线的布置方式（图6.4.12）。
【图6.4.12 混凝土梁模板门式支撑架的布置形式（一）】
本示意图说明了混凝土梁模板门式支撑架在不同布置方向下的构造形式：
门架可按垂直于梁轴线方向布置，通过交叉支撑、水平加固杆及调节构件形成稳定的支撑体系；
门架亦可按平行于梁轴线方向布置，通过连续门架与水平加固体系共同承受梁模板荷载；
支撑体系由门架、交叉支撑、调节架、托梁、扫地杆及水平加固杆等构件组成，形成完整受力路径。
6.4.13 当混凝土梁的模板门式支撑架高度较高或荷载较大时，门架可采用复式的布置方式（图6.4.13）。
【图6.4.13 混凝土梁模板门式支撑架的布置形式（二）】
本示意图说明了混凝土梁模板在高支或重载条件下门式支撑架的复式布置构造：
通过上下两层门架组合布置，并配合交叉支撑、调节架及水平加固杆，提高整体承载能力和稳定性；
复式布置使荷载分级传递至下部支撑体系，形成合理的受力层次。
6.4.14 混凝土梁板类结构的模板满堂支撑架，应按梁板结构分别设计。板支撑架跨距（或列距）宜为梁支撑架跨距（或列距）的倍数，梁下横向水平加固杆应伸入板支撑架内不少于2根门架立杆，并应与板下门架立杆扣紧。</t>
    <phoneticPr fontId="1" type="noConversion"/>
  </si>
  <si>
    <t>52/53</t>
    <phoneticPr fontId="1" type="noConversion"/>
  </si>
  <si>
    <t>6.5 移动门式作业架
6.5.1 用于装饰装修、维修和设备管道安装的可移动门式作业架搭设高度不宜超过8m，高宽比不应大于3∶1，施工荷载不应大于1.5kN/m²。
6.5.2 移动门式作业架在门架平面内方向门架列距不应大于1.8m，架体宜搭设成方形结构，当搭设成矩形结构时，长短边之比不宜大于3∶2。
6.5.3 移动门式作业架应按步在每个门架的两根立杆上分别设置纵横向水平加固杆，应在底部门架立杆上设置纵横向扫地杆。
6.5.4 移动门式作业架应在外侧周边、内部纵横向间隔不大于4m连续设置竖向剪刀撑，应在顶层、扫地杆设置处和竖向间隔不超过2步分别设置一道水平剪刀撑。
6.5.5 当架体的高宽比大于2时，在移动就位后使用前应设置抛撑。
6.5.6 架体上应设置供施工人员上下架体使用的爬梯。
6.5.7 架体顶部作业平台应满铺脚手板，周边应设防护栏杆和挡脚板。
6.5.8 架体应设有万向轮。在架体移动时，应有架体同步移动控制措施。在架体使用时，应有防止架体移动的固定措施。</t>
    <phoneticPr fontId="1" type="noConversion"/>
  </si>
  <si>
    <t>53/53</t>
    <phoneticPr fontId="1" type="noConversion"/>
  </si>
  <si>
    <t>6.6 地基
6.6.1 根据不同地基土质和搭设高度条件，门式脚手架的地基应符合表6.6.1的规定。
【表6.6.1 门式脚手架的地基要求】
本表规定了不同搭设高度及不同地基土质条件下门式脚手架地基的构造要求：
（1）当搭设高度不大于24m，且地基土质为中低压缩性且压缩性均匀的夯实原土，干重力密度要求大于或等于15.5kN/m³时，立杆底座应置于面积不小于0.075m²的垫木上；
（2）当搭设高度不大于24m，且地基土质为回填土，采用土夹石或素土回填并夯实时，立杆底座应置于面积不小于0.10m²的垫木上；
（3）当搭设高度不大于24m，且地基土质为高压缩性或压缩性不均匀的夯实原土时，应铺设通长垫木；
（4）当搭设高度大于24m且不大于40m，且地基土质为中低压缩性且压缩性均匀时，垫木面积不应小于0.10m²，其余要求同搭设高度不大于24m时的规定；
（5）当搭设高度大于24m且不大于40m，且地基土质为回填土，采用砂夹石回填并夯实时，其余要求同搭设高度不大于24m时的规定；
（6）当搭设高度大于24m且不大于40m，且地基土质为高压缩性或压缩性不均匀的夯实原土时，在搭设地面应满铺C15混凝土，厚度不小于150mm；
（7）当搭设高度大于40m且不大于60m，且地基土质为中低压缩性且压缩性均匀时，垫木面积不应小于0.15m²或铺设通长垫木，其余要求同搭设高度不大于24m时的规定；
（8）当搭设高度大于40m且不大于60m，且地基土质为回填土，采用砂夹石回填并夯实时，垫木面积不应小于0.15m²或铺设通长垫木；
（9）当搭设高度大于40m且不大于60m，且地基土质为高压缩性或压缩性不均匀的夯实原土时，在搭设地面应满铺C15混凝土，厚度不小于200mm。
注：垫木厚度不小于50mm，宽度不小于200mm；通长垫木的长度不小于1500mm。</t>
    <phoneticPr fontId="1" type="noConversion"/>
  </si>
  <si>
    <t>53/54</t>
    <phoneticPr fontId="1" type="noConversion"/>
  </si>
  <si>
    <t>54/54</t>
    <phoneticPr fontId="1" type="noConversion"/>
  </si>
  <si>
    <t>6.6.2 门式脚手架的搭设场地应平整坚实，并应符合下列规定：
1 回填土应分层回填，逐层夯实；
2 场地排水应顺畅，不应有积水。
6.6.3 搭设门式作业脚手架的地面标高宜高于自然地坪标高50mm～100mm。
6.6.4 当门式脚手架搭设在楼面等建筑结构上时，门架立杆下宜铺设垫板。</t>
    <phoneticPr fontId="1" type="noConversion"/>
  </si>
  <si>
    <t>7 搭设与拆除
7.1 施工准备
7.1.1 门式脚手架搭设与拆除作业前，应根据工程特点编制专项施工方案，经审核批准后方可实施。专项施工方案应向作业人员进行安全技术交底，并应由安全技术交底双方书面签字确认。
7.1.2 门式脚手架搭拆施工的专项施工方案，应包括下列内容：
1 工程概况、设计依据、搭设条件、搭设方案设计。
2 搭设施工图：
1）架体的平面图、立面图、剖面图；
2）脚手架连墙件的布置及构造图；
3）脚手架转角、通道口的构造图；
4）脚手架斜梯布置及构造图；
5）重要节点构造图。
3 基础做法及要求。
4 架体搭设及拆除的程序和方法。
5 季节性施工措施。
6 质量保证措施。
7 架体搭设、使用、拆除的安全、环保、绿色文明施工措施。
8 设计计算书。
9 悬挑脚手架搭设方案设计。
10 应急预案。
7.1.3 门架与配件、加固杆等在使用前应进行检查和验收。
7.1.4 经检验合格的构配件及材料应按品种和规格分类堆放整齐、平稳。
7.1.5 对搭设场地应进行清理、平整，并应采取排水措施。
7.1.6 悬挑脚手架搭设前应检查预埋件和支撑型钢悬挑梁的混凝土强度。
7.1.7 在搭设前，应根据架体结构布置先在基础上弹出门架立杆位置线，垫板、底座安放位置应准确，标高应一致。</t>
    <phoneticPr fontId="1" type="noConversion"/>
  </si>
  <si>
    <t>55/56</t>
    <phoneticPr fontId="1" type="noConversion"/>
  </si>
  <si>
    <t>7.2 搭设
7.2.1 门式脚手架的搭设程序应符合下列规定：
1 作业脚手架的搭设应与施工进度同步，一次搭设高度不宜超过最上层连墙件两步，且自由高度不应大于4m；
2 支撑架应采用逐列、逐排和逐层的方法搭设；
3 门架的组装应自一端向另一端延伸，应自下而上按步架设，并应逐层改变搭设方向；
4 每搭设完两步门架后，应校验门架的水平度及立杆的垂直度；
5 安全网、挡脚板和栏杆应随架体的搭设及时安装。
7.2.2 搭设门架及配件应符合下列规定：
1 交叉支撑、水平架、脚手板应与门架同时安装。
2 连接门架的锁臂、挂钩应处于锁住状态。
3 钢梯的设置应符合专项施工方案组装布置图的要求，底层钢梯底部应加设钢管，并应采用扣件与门架立杆扣紧。
4 在施工作业层外侧周边应设置180mm高的挡脚板和两道栏杆，上道栏杆高度应为1.2m，下道栏杆应居中设置。挡脚板和栏杆均应设置在门架立杆的内侧。
7.2.3 加固杆的搭设应符合下列规定：
1 水平加固杆、剪刀撑斜杆等加固杆件应与门架同步搭设；
2 水平加固杆应设于门架立杆内侧，剪刀撑斜杆应设于门架立杆外侧。</t>
    <phoneticPr fontId="1" type="noConversion"/>
  </si>
  <si>
    <t>56/56</t>
    <phoneticPr fontId="1" type="noConversion"/>
  </si>
  <si>
    <t>7.2.4 门式作业脚手架连墙件的安装应符合下列规定：
1 连墙件应随作业脚手架的搭设进度同步进行安装；
2 当操作层高出相邻连墙件以上2步时，在上层连墙件安装完毕前，应采取临时拉结措施，直到上一层连墙件安装完毕后方可根据实际情况拆除。
7.2.5 当加固杆、连墙件等杆件与门架采用扣件连接时，应符合下列规定：
1 扣件规格应与所连接钢管的外径相匹配；
2 扣件螺栓拧紧扭力矩值应为40N·m～65N·m；
3 杆件端头伸出扣件盖板边缘长度不应小于100mm。
7.2.6 门式作业脚手架通道口的斜撑杆、托架梁及通道口两侧门架立杆的加强杆件应与门架同步搭设。
7.2.7 门式支撑架的可调底座、可调托座宜采取防止砂浆、水泥浆等污物填塞螺纹的措施。</t>
    <phoneticPr fontId="1" type="noConversion"/>
  </si>
  <si>
    <t>56/57</t>
    <phoneticPr fontId="1" type="noConversion"/>
  </si>
  <si>
    <t>7.3 拆除
7.3.1 架体拆除应按专项施工方案实施，并应在拆除前做好下列准备工作：
1 应对拆除的架体进行拆除前检查，当发现有连墙件、加固杆缺失，拆除过程中架体可能倾斜失稳的情况时，应先行加固后再拆除；
2 应根据拆除前的检查结果补充完善专项施工方案；
3 应清除架体上的材料、杂物及作业面的障碍物。
7.3.2 门式脚手架拆除作业应符合下列规定：
1 架体的拆除应从上而下逐层进行。
2 同层杆件和构配件应按先外后内的顺序拆除，剪刀撑、斜撑杆等加固杆件应在拆卸至该部位杆件时再拆除。
3 连墙件应随门式作业脚手架逐层拆除，不得先将连墙件整层或数层拆除后再拆架体。拆除作业过程中，当架体的自由高度大于2步时，应加设临时拉结。
7.3.3 当拆卸连接部件时，应先将止退装置旋转至开启位置，然后拆除，不得硬拉、敲击。拆除作业中，不应使用手锤等硬物击打、撬别。
7.3.4 当门式作业脚手架分段拆除时，应先对不拆除部分架体的两端加固后再进行拆除作业。
7.3.5 门架与配件应采用机械或人工运至地面，严禁抛掷。
7.3.6 拆卸的门架与配件、加固杆等不得集中堆放在未拆架体上，并应及时检查、整修和保养，宜按品种、规格分别存放。</t>
    <phoneticPr fontId="1" type="noConversion"/>
  </si>
  <si>
    <t>57/58</t>
    <phoneticPr fontId="1" type="noConversion"/>
  </si>
  <si>
    <t>8 检查与验收
8.1 构配件检查与验收
8.1.1 门式脚手架搭设前，应按现行行业标准《门式钢管脚手架》JG 13 的规定对门架与配件的基本尺寸、质量和性能进行检查，确认合格后方可使用。
8.1.2 施工现场使用的门架与配件应具有产品质量合格证，应标志清晰，并应符合下列规定：
1 门架与配件表面应平直光滑，焊缝应饱满，不应有裂缝、开焊、焊缝错位、硬弯、凹痕、毛刺、锁杆弯曲等缺陷；
2 门架与配件表面应涂刷防锈漆或镀锌；
3 门架与配件上的止退和锁紧装置应齐全、有效。
8.1.3 周转使用的门架与配件，应按本标准附录A的规定经分类检查确认A类方可使用；B类、C类应经维修或试验后维修达到A类方可使用；不得使用D类门架与配件。
8.1.4 在施工现场每使用一个安装拆除周期后，应对门架和配件采用目测、尺量的方法检查一次。当进行锈蚀深度检查时，应按本标准附录A第A.3节的规定抽取样品，在每个样品锈蚀严重的部位宜采用测厚仪或横向截断的方法取样检测，当锈蚀深度超过规定值时不得使用。
8.1.5 加固杆、连接杆等所用钢管和扣件的质量应符合下列规定：
1 当钢管壁厚的负偏差超过－0.2mm时，不得使用；
2 不得使用有裂缝、变形的扣件，出现滑丝的螺栓应进行更换；
3 钢管和扣件宜涂有防锈漆。
8.1.6 底座和托座在使用前应对调节螺杆与门架立杆配合间隙进行检查。
8.1.7 连墙件、型钢悬挑梁、U型钢筋拉环或锚固螺栓，在使用前应进行外观质量检查。</t>
    <phoneticPr fontId="1" type="noConversion"/>
  </si>
  <si>
    <t>59/60</t>
    <phoneticPr fontId="1" type="noConversion"/>
  </si>
  <si>
    <t>8.2 搭设检查与验收
8.2.1 搭设前，应对门式脚手架的地基与基础进行检查，经检验合格后方可搭设。
8.2.2 门式作业脚手架每搭设2个楼层高度或搭设完毕，门式支撑架每搭设4步高度或搭设完毕，应对搭设质量及安全进行一次检查，经检验合格后方可交付使用或继续搭设。
8.2.3 在门式脚手架搭设质量验收时，应具备下列文件：
1 专项施工方案；
2 构配件与材料质量的检验记录；
3 安全技术交底及搭设质量检验记录。
8.2.4 门式脚手架搭设质量验收应进行现场检验，在进行全数检查的基础上，应对下列项目进行重点检验，并应记入搭设质量验收记录：
1 构配件和加固杆的规格、品种应符合设计要求，质量应合格，构造设置应齐全，连接和挂扣应紧固可靠；
2 基础应符合设计要求，应平整坚实；
3 门架跨距、间距应符合设计要求；
4 连墙件设置应符合设计要求，与建筑结构、架体连接应可靠；
5 加固杆的设置应符合设计要求；
6 门式作业脚手架的通道口、转角等部位搭设应符合构造要求；
7 架体垂直度及水平度应经检验合格；
8 悬挑脚手架的悬挑支承结构及与建筑结构的连接固定应符合设计要求，U型钢筋拉环或锚固螺栓的隐蔽验收应合格；
9 安全网的张挂及防护栏杆的设置应齐全、牢固。</t>
    <phoneticPr fontId="1" type="noConversion"/>
  </si>
  <si>
    <t>60/60</t>
    <phoneticPr fontId="1" type="noConversion"/>
  </si>
  <si>
    <t>8.2.5 门式脚手架搭设的技术要求、允许偏差与检验方法，应符合表8.2.5的规定。
【表8.2.5 门式脚手架搭设的技术要求、允许偏差及检验方法】本表规定了门式脚手架搭设的技术要求、允许偏差及检验方法：
（1）在隐蔽工程条件下，地基承载力应符合设计要求，允许偏差为—，检验方法为观察、施工记录检查；
（2）在隐蔽工程条件下，预埋件应符合设计要求，允许偏差为—，检验方法为观察、施工记录检查；
（3）在地基与基础条件下，地基表面应坚实平整，允许偏差为—，检验方法为观察；
（4）在地基与基础条件下，排水应不积水，允许偏差为—，检验方法为观察；
（5）在地基与基础条件下，垫板应稳固、不晃动，允许偏差为—，检验方法为观察；
（6）在地基与基础条件下，底座应无沉降，调节螺杆高度应符合本标准要求，允许偏差为≤200mm，检验方法为钢直尺检查；
（7）在地基与基础条件下，纵向轴线位置允许偏差为±20mm，横向轴线位置允许偏差为±10mm，检验方法为尺量检查；
（8）在架体构造条件下，架体构造应符合本标准及专项施工方案要求，允许偏差为—，检验方法为观察、尺量检查；
（9）在门架安装条件下，门架立杆与底座轴线偏差允许值为≤2.0mm，检验方法为尺量检查；
（10）在门架安装条件下，上下榀门架立杆轴线偏差允许值为≤2.0mm，检验方法为尺量检查；
（11）在垂直度条件下，每步架垂直度允许偏差为h/300且±6.0mm，检验方法为经纬仪或线锤、钢直尺检查；
（12）在垂直度条件下，整体垂直度允许偏差为H/300且±100.0mm，检验方法为经纬仪或线锤、钢直尺检查；
（13）在水平度条件下，一跨距内两榀门架高差允许偏差为±5.0mm，检验方法为水准仪、水平尺检查；
（14）在水平度条件下，整体水平度允许偏差为±100mm，检验方法为钢直尺检查；</t>
    <phoneticPr fontId="1" type="noConversion"/>
  </si>
  <si>
    <t>61/61</t>
    <phoneticPr fontId="1" type="noConversion"/>
  </si>
  <si>
    <t>（15）在连墙件条件下，与架体、建筑结构连接应牢固，允许偏差为—，检验方法为观察、扭矩测力扳手检查；
（16）在连墙件条件下，竖向纵向间距应按设计要求设置，允许偏差为±300mm，检验方法为尺量检查；
（17）在连墙件条件下，与门架横杆距离应符合本标准要求，允许偏差为≤200mm，检验方法为尺量检查；
（18）在剪刀撑条件下，剪刀撑间距应按设计要求设置，允许偏差为±300mm，检验方法为尺量检查；
（19）在剪刀撑条件下，剪刀撑倾角应为45°～60°，允许偏差为—，检验方法为角尺、尺量检查；
（20）在水平加固杆条件下，设置应按设计要求进行，允许偏差为—，检验方法为观察、尺量检查；
（21）在脚手板条件下，铺设应严密、牢固，脚手板孔径d应≤25mm，检验方法为观察、尺量检查；
（22）在悬挑支撑结构条件下，型钢规格及安装位置应符合设计要求，允许偏差为±10mm，检验方法为观察、尺量检查；
（23）在施工层防护栏杆、挡脚板条件下，应按设计要求设置，允许偏差为—，检验方法为观察、手扳检查；
（24）在安全网条件下，安全网应齐全、牢固，网间应严密，允许偏差为—，检验方法为观察；
（25）在扣件条件下，扣件拧紧力矩应为40N·m～65N·m，允许偏差为—，检验方法为扭矩测力扳手检查。
注：h为步距；H为脚手架高度；d为孔径。
8.2.6 门式脚手架扣件拧紧力矩的检查与验收，应符合现行行业标准《建筑施工扣件式钢管脚手架安全技术规范》JGJ 130的规定。
8.2.7 门式脚手架的检查验收宜按本标准附录C记录。</t>
    <phoneticPr fontId="1" type="noConversion"/>
  </si>
  <si>
    <t>62/62</t>
    <phoneticPr fontId="1" type="noConversion"/>
  </si>
  <si>
    <t>62/63</t>
    <phoneticPr fontId="1" type="noConversion"/>
  </si>
  <si>
    <t>8.3 使用过程中检查
8.3.1 门式脚手架在使用过程中应进行日常维护检查，发现问题应及时处理，并应符合下列规定：
1 地基应无积水，垫板及底座应无松动，门架立杆应无悬空；
2 架体构造应完整，无人为拆除，加固杆、连墙件应无松动，架体应无明显变形；
3 锁臂、挂扣件、扣件螺栓应无松动；
4 杆件、构配件应无锈蚀、无泥浆等污染；
5 安全网、防护栏杆应无缺失、损坏；
6 架体上或架体附近不得长期堆放可燃易燃物料；
7 应无超载使用。
8.3.2 门式脚手架在使用过程中遇有下列情况时，应进行检查，确认安全后方可继续使用：
1 遇有8级以上强风或大雨后；
2 冻结的地基土解冻后；
3 停用超过一个月，复工前；
4 架体遭受外力撞击等作用后；
5 架体部分拆除后；
6 其他特殊情况。
8.3.3 当混凝土模板门式支撑架在施加荷载或浇注混凝土时，应设专人看护检查。看护检查人员应在门式支撑架的外侧。</t>
    <phoneticPr fontId="1" type="noConversion"/>
  </si>
  <si>
    <t>9 安全管理
9.0.1 搭拆门式脚手架应由架子工担任，并应经岗位作业能力培训考核合格后，持证上岗。
9.0.2 当搭拆架体时，施工作业层应临时铺设脚手板，操作人员应站在临时设置的脚手板上进行作业，并应按规定使用安全防护用品，穿防滑鞋。
9.0.3 门式脚手架使用前，应向作业人员进行安全技术交底。
9.0.4 门式脚手架作业层上的荷载不得超过设计荷载，门式作业脚手架同时满载作业的层数不应超过2层。
9.0.5 严禁将支撑架、缆风绳、混凝土输送泵管、卸料平台及大型设备的支承件等固定在作业脚手架上；严禁在门式作业脚手架上悬挂起重设备。
9.0.6 6级及以上强风天气应停止架上作业；雨、雪、雾天应停止门式脚手架的搭拆作业；雨、雪、霜后上架作业应采取有效的防滑措施，并应扫除积雪。
9.0.7 门式脚手架在使用期间，当预见可能有强风天气所产生的风压值超出设计的基本风压值时，应对架体采取临时加固等防风措施。
9.0.8 在门式脚手架使用期间，立杆基础下及附近不宜进行挖掘作业；当因施工需进行挖掘作业时，应对架体采取加固措施。
9.0.9 门式支撑架的交叉支撑和加固杆，在施工期间严禁拆除。</t>
    <phoneticPr fontId="1" type="noConversion"/>
  </si>
  <si>
    <t>9.0.10 门式作业脚手架在使用期间，不应拆除加固杆、连墙件、转角处连接杆、通道口斜撑杆等加固杆件。
9.0.11 门式作业脚手架临街及转角处的外侧立面应按步采取硬防护措施，硬防护的高度不应小于1.2m，转角处硬防护的宽度应为作业脚手架宽度。
9.0.12 门式作业脚手架外侧应设置密目式安全网，网间应严密。
9.0.13 门式作业脚手架与架空输电线路的安全距离、工地临时用电线路架设及作业脚手架接地、防雷措施，应按现行行业标准《施工现场临时用电安全技术规范》JGJ 46的有关规定执行。
9.0.14 在门式脚手架上进行电气焊和其他动火作业时，应符合现行国家标准《建设工程施工现场消防安全技术规范》GB 50720的规定，应采取防火措施，并应设专人监护。
9.0.15 不得攀爬门式作业脚手架。
9.0.16 当搭拆门式脚手架作业时，应设置警戒线、警戒标志，并应派专人监护，严禁非作业人员入内。
9.0.17 对门式脚手架应进行日常性的检查和维护，架体上的建筑垃圾或杂物应及时清理。
9.0.18 通行机动车的门式作业脚手架洞口，其洞口净空尺寸应满足既有道路通行安全界线的要求，应设置导向、限高、限宽、减速、防撞等设施及标志。
9.0.19 门式支撑架在施加荷载的过程中，架体下面严禁有人。当门式脚手架在使用过程中出现安全隐患时，应及时排除；当出现可能危及人身安全的重大隐患时，应停止架上作业，撤离作业人员，并应由专业人员组织检查、处置。</t>
    <phoneticPr fontId="1" type="noConversion"/>
  </si>
  <si>
    <t>64/64</t>
    <phoneticPr fontId="1" type="noConversion"/>
  </si>
  <si>
    <t>64/65</t>
    <phoneticPr fontId="1" type="noConversion"/>
  </si>
  <si>
    <t>JGJ/T128-2019_1</t>
    <phoneticPr fontId="1" type="noConversion"/>
  </si>
  <si>
    <t>JGJ/T128-2019_2</t>
  </si>
  <si>
    <t>JGJ/T128-2019_3</t>
  </si>
  <si>
    <t>JGJ/T128-2019_4</t>
  </si>
  <si>
    <t>JGJ/T128-2019_5</t>
  </si>
  <si>
    <t>JGJ/T128-2019_6</t>
  </si>
  <si>
    <t>JGJ/T128-2019_7</t>
  </si>
  <si>
    <t>JGJ/T128-2019_8</t>
  </si>
  <si>
    <t>JGJ/T128-2019_9</t>
  </si>
  <si>
    <t>JGJ/T128-2019_10</t>
  </si>
  <si>
    <t>JGJ/T128-2019_11</t>
  </si>
  <si>
    <t>JGJ/T128-2019_12</t>
  </si>
  <si>
    <t>JGJ/T128-2019_13</t>
  </si>
  <si>
    <t>JGJ/T128-2019_14</t>
  </si>
  <si>
    <t>JGJ/T128-2019_15</t>
  </si>
  <si>
    <t>JGJ/T128-2019_16</t>
  </si>
  <si>
    <t>JGJ/T128-2019_17</t>
  </si>
  <si>
    <t>JGJ/T128-2019_18</t>
  </si>
  <si>
    <t>JGJ/T128-2019_19</t>
  </si>
  <si>
    <t>JGJ/T128-2019_20</t>
  </si>
  <si>
    <t>JGJ/T128-2019_21</t>
  </si>
  <si>
    <t>JGJ/T128-2019_22</t>
  </si>
  <si>
    <t>JGJ/T128-2019_23</t>
  </si>
  <si>
    <t>JGJ/T128-2019_24</t>
  </si>
  <si>
    <t>JGJ/T128-2019_25</t>
  </si>
  <si>
    <t>JGJ/T128-2019_26</t>
  </si>
  <si>
    <t>JGJ/T128-2019_27</t>
  </si>
  <si>
    <t>JGJ/T128-2019_28</t>
  </si>
  <si>
    <t>JGJ/T128-2019_29</t>
  </si>
  <si>
    <t>JGJ/T128-2019_30</t>
  </si>
  <si>
    <t>JGJ/T128-2019_31</t>
  </si>
  <si>
    <t>JGJ/T128-2019_32</t>
  </si>
  <si>
    <t>JGJ/T128-2019_33</t>
  </si>
  <si>
    <t>JGJ/T128-2019_34</t>
  </si>
  <si>
    <t>JGJ/T128-2019_35</t>
  </si>
  <si>
    <t>JGJ/T128-2019_36</t>
  </si>
  <si>
    <t>JGJ/T128-2019_37</t>
  </si>
  <si>
    <t>JGJ/T128-2019_38</t>
  </si>
  <si>
    <t>JGJ/T128-2019_39</t>
  </si>
  <si>
    <t>JGJ/T128-2019_40</t>
  </si>
  <si>
    <t>JGJ/T128-2019_41</t>
  </si>
  <si>
    <t>JGJ/T128-2019_42</t>
  </si>
  <si>
    <t>JGJ/T128-2019_43</t>
  </si>
  <si>
    <t>JGJ/T128-2019_44</t>
  </si>
  <si>
    <t>JGJ/T128-2019_45</t>
  </si>
  <si>
    <t>JGJ/T128-2019_46</t>
  </si>
  <si>
    <t>JGJ/T128-2019_47</t>
  </si>
  <si>
    <t>JGJ/T128-2019_48</t>
  </si>
  <si>
    <t>JGJ/T128-2019_49</t>
  </si>
  <si>
    <t>JGJ/T128-2019_50</t>
  </si>
  <si>
    <t>JGJ/T128-2019_51</t>
  </si>
  <si>
    <t>JGJ/T128-2019_52</t>
  </si>
  <si>
    <t>JGJ/T128-2019_53</t>
  </si>
  <si>
    <t>JGJ/T128-2019_54</t>
  </si>
  <si>
    <t>JGJ/T128-2019_55</t>
  </si>
  <si>
    <t>JGJ/T128-2019_56</t>
  </si>
  <si>
    <t>JGJ/T128-2019_57</t>
  </si>
  <si>
    <t>JGJ/T128-2019_58</t>
  </si>
  <si>
    <t>JGJ/T128-2019_59</t>
  </si>
  <si>
    <t>JGJ/T128-2019_60</t>
  </si>
  <si>
    <t>JGJ/T128-2019_61</t>
  </si>
  <si>
    <t>JGJ/T128-2019_62</t>
  </si>
  <si>
    <t>JGJ/T128-2019_63</t>
  </si>
  <si>
    <t>JGJ/T128-2019_64</t>
  </si>
  <si>
    <t>JGJ/T128-2019_65</t>
  </si>
  <si>
    <t>JGJ/T128-2019_66</t>
  </si>
  <si>
    <t>JGJ/T128-2019_67</t>
  </si>
  <si>
    <t>JGJ/T128-2019_68</t>
  </si>
  <si>
    <t>JGJ/T128-2019_69</t>
  </si>
  <si>
    <t>JGJ/T128-2019_70</t>
  </si>
  <si>
    <t>JGJ/T128-2019_71</t>
  </si>
  <si>
    <t>JGJ/T128-2019_72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</si>
</sst>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amily val="2"/>
      <charset val="134"/>
      <scheme val="minor"/>
    </font>
    <font>
      <sz val="9"/>
      <name val="等线"/>
      <family val="2"/>
      <charset val="134"/>
      <scheme val="minor"/>
    </font>
    <font>
      <i/>
      <sz val="12"/>
      <color theme="1"/>
      <name val="等线"/>
      <family val="4"/>
      <charset val="134"/>
      <scheme val="minor"/>
    </font>
    <font>
      <sz val="12"/>
      <color theme="1"/>
      <name val="等线"/>
      <family val="4"/>
      <charset val="134"/>
      <scheme val="minor"/>
    </font>
    <font>
      <sz val="12"/>
      <color theme="1"/>
      <name val="Cambria Math"/>
      <family val="2"/>
      <charset val="1"/>
    </font>
    <font>
      <sz val="12"/>
      <color theme="1"/>
      <name val="Cambria Math"/>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49" fontId="0" fillId="0" borderId="0" xfId="0" applyNumberFormat="1">
      <alignment vertical="center"/>
    </xf>
    <xf numFmtId="0" fontId="2" fillId="0" borderId="0" xfId="0" applyFont="1">
      <alignment vertical="center"/>
    </xf>
    <xf numFmtId="0" fontId="3" fillId="0" borderId="0" xfId="0" applyFont="1">
      <alignment vertical="center"/>
    </xf>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7EB03-68A9-3B41-8DAD-4F6F1E48DEF4}">
  <dimension ref="A1:H175"/>
  <sheetViews>
    <sheetView tabSelected="1" zoomScale="159" workbookViewId="0">
      <selection activeCell="C9" sqref="C9"/>
    </sheetView>
  </sheetViews>
  <sheetFormatPr baseColWidth="10" defaultRowHeight="16"/>
  <cols>
    <col min="5" max="5" width="10.83203125" style="1"/>
    <col min="7" max="7" width="49.1640625" customWidth="1"/>
  </cols>
  <sheetData>
    <row r="1" spans="1:8">
      <c r="A1" t="s">
        <v>0</v>
      </c>
      <c r="B1" t="s">
        <v>13</v>
      </c>
      <c r="C1" t="s">
        <v>1</v>
      </c>
      <c r="D1" t="s">
        <v>2</v>
      </c>
      <c r="E1" s="1" t="s">
        <v>3</v>
      </c>
      <c r="F1" t="s">
        <v>4</v>
      </c>
      <c r="G1" t="s">
        <v>5</v>
      </c>
      <c r="H1" t="s">
        <v>6</v>
      </c>
    </row>
    <row r="2" spans="1:8">
      <c r="A2" t="s">
        <v>14</v>
      </c>
      <c r="B2" t="s">
        <v>7</v>
      </c>
      <c r="C2" t="s">
        <v>8</v>
      </c>
      <c r="D2" t="s">
        <v>9</v>
      </c>
      <c r="F2" t="s">
        <v>10</v>
      </c>
      <c r="G2" t="s">
        <v>11</v>
      </c>
      <c r="H2" t="s">
        <v>12</v>
      </c>
    </row>
    <row r="3" spans="1:8">
      <c r="A3" t="s">
        <v>16</v>
      </c>
      <c r="B3" t="s">
        <v>15</v>
      </c>
      <c r="C3" t="s">
        <v>124</v>
      </c>
      <c r="D3">
        <v>1</v>
      </c>
      <c r="E3" s="1" t="s">
        <v>18</v>
      </c>
      <c r="F3">
        <v>1</v>
      </c>
      <c r="G3" t="s">
        <v>17</v>
      </c>
      <c r="H3">
        <f>LEN(G3)</f>
        <v>260</v>
      </c>
    </row>
    <row r="4" spans="1:8">
      <c r="A4" t="s">
        <v>16</v>
      </c>
      <c r="B4" t="s">
        <v>15</v>
      </c>
      <c r="C4" t="s">
        <v>125</v>
      </c>
      <c r="D4">
        <v>2</v>
      </c>
      <c r="E4" s="1" t="s">
        <v>19</v>
      </c>
      <c r="F4">
        <v>1</v>
      </c>
      <c r="G4" t="s">
        <v>20</v>
      </c>
      <c r="H4">
        <f>LEN(G4)</f>
        <v>454</v>
      </c>
    </row>
    <row r="5" spans="1:8">
      <c r="A5" t="s">
        <v>16</v>
      </c>
      <c r="B5" t="s">
        <v>15</v>
      </c>
      <c r="C5" t="s">
        <v>126</v>
      </c>
      <c r="D5">
        <v>3</v>
      </c>
      <c r="E5" s="1" t="s">
        <v>22</v>
      </c>
      <c r="F5">
        <v>1</v>
      </c>
      <c r="G5" t="s">
        <v>21</v>
      </c>
      <c r="H5">
        <f t="shared" ref="H5:H175" si="0">LEN(G5)</f>
        <v>235</v>
      </c>
    </row>
    <row r="6" spans="1:8">
      <c r="A6" t="s">
        <v>16</v>
      </c>
      <c r="B6" t="s">
        <v>15</v>
      </c>
      <c r="C6" t="s">
        <v>127</v>
      </c>
      <c r="D6">
        <v>4</v>
      </c>
      <c r="E6" s="1" t="s">
        <v>26</v>
      </c>
      <c r="F6">
        <v>1</v>
      </c>
      <c r="G6" t="s">
        <v>23</v>
      </c>
      <c r="H6">
        <f t="shared" si="0"/>
        <v>537</v>
      </c>
    </row>
    <row r="7" spans="1:8">
      <c r="A7" t="s">
        <v>16</v>
      </c>
      <c r="B7" t="s">
        <v>15</v>
      </c>
      <c r="C7" t="s">
        <v>128</v>
      </c>
      <c r="D7">
        <v>4</v>
      </c>
      <c r="E7" s="1" t="s">
        <v>25</v>
      </c>
      <c r="F7">
        <v>2</v>
      </c>
      <c r="G7" t="s">
        <v>24</v>
      </c>
      <c r="H7">
        <f t="shared" si="0"/>
        <v>861</v>
      </c>
    </row>
    <row r="8" spans="1:8">
      <c r="A8" t="s">
        <v>16</v>
      </c>
      <c r="B8" t="s">
        <v>15</v>
      </c>
      <c r="C8" t="s">
        <v>129</v>
      </c>
      <c r="D8">
        <v>4</v>
      </c>
      <c r="E8" s="1" t="s">
        <v>28</v>
      </c>
      <c r="F8">
        <v>3</v>
      </c>
      <c r="G8" t="s">
        <v>27</v>
      </c>
      <c r="H8">
        <f t="shared" si="0"/>
        <v>633</v>
      </c>
    </row>
    <row r="9" spans="1:8">
      <c r="A9" t="s">
        <v>16</v>
      </c>
      <c r="B9" t="s">
        <v>15</v>
      </c>
      <c r="C9" t="s">
        <v>130</v>
      </c>
      <c r="D9">
        <v>4</v>
      </c>
      <c r="E9" s="1" t="s">
        <v>33</v>
      </c>
      <c r="F9">
        <v>4</v>
      </c>
      <c r="G9" t="s">
        <v>29</v>
      </c>
      <c r="H9">
        <f t="shared" si="0"/>
        <v>562</v>
      </c>
    </row>
    <row r="10" spans="1:8">
      <c r="A10" t="s">
        <v>16</v>
      </c>
      <c r="B10" t="s">
        <v>15</v>
      </c>
      <c r="C10" t="s">
        <v>131</v>
      </c>
      <c r="D10">
        <v>4</v>
      </c>
      <c r="E10" s="1" t="s">
        <v>35</v>
      </c>
      <c r="F10">
        <v>5</v>
      </c>
      <c r="G10" t="s">
        <v>31</v>
      </c>
      <c r="H10">
        <f t="shared" si="0"/>
        <v>682</v>
      </c>
    </row>
    <row r="11" spans="1:8">
      <c r="A11" t="s">
        <v>16</v>
      </c>
      <c r="B11" t="s">
        <v>15</v>
      </c>
      <c r="C11" t="s">
        <v>132</v>
      </c>
      <c r="D11">
        <v>4</v>
      </c>
      <c r="E11" s="1" t="s">
        <v>34</v>
      </c>
      <c r="F11">
        <v>6</v>
      </c>
      <c r="G11" t="s">
        <v>32</v>
      </c>
      <c r="H11">
        <f t="shared" si="0"/>
        <v>517</v>
      </c>
    </row>
    <row r="12" spans="1:8">
      <c r="A12" t="s">
        <v>16</v>
      </c>
      <c r="B12" t="s">
        <v>15</v>
      </c>
      <c r="C12" t="s">
        <v>133</v>
      </c>
      <c r="D12">
        <v>5</v>
      </c>
      <c r="E12" s="1" t="s">
        <v>37</v>
      </c>
      <c r="F12">
        <v>1</v>
      </c>
      <c r="G12" t="s">
        <v>36</v>
      </c>
      <c r="H12">
        <f t="shared" si="0"/>
        <v>654</v>
      </c>
    </row>
    <row r="13" spans="1:8">
      <c r="A13" t="s">
        <v>16</v>
      </c>
      <c r="B13" t="s">
        <v>15</v>
      </c>
      <c r="C13" t="s">
        <v>134</v>
      </c>
      <c r="D13">
        <v>5</v>
      </c>
      <c r="E13" s="1" t="s">
        <v>38</v>
      </c>
      <c r="F13">
        <v>2</v>
      </c>
      <c r="G13" t="s">
        <v>39</v>
      </c>
      <c r="H13">
        <f t="shared" si="0"/>
        <v>682</v>
      </c>
    </row>
    <row r="14" spans="1:8">
      <c r="A14" t="s">
        <v>16</v>
      </c>
      <c r="B14" t="s">
        <v>15</v>
      </c>
      <c r="C14" t="s">
        <v>135</v>
      </c>
      <c r="D14">
        <v>5</v>
      </c>
      <c r="E14" s="1" t="s">
        <v>41</v>
      </c>
      <c r="F14">
        <v>3</v>
      </c>
      <c r="G14" t="s">
        <v>40</v>
      </c>
      <c r="H14">
        <f t="shared" si="0"/>
        <v>584</v>
      </c>
    </row>
    <row r="15" spans="1:8">
      <c r="A15" t="s">
        <v>16</v>
      </c>
      <c r="B15" t="s">
        <v>15</v>
      </c>
      <c r="C15" t="s">
        <v>136</v>
      </c>
      <c r="D15">
        <v>6</v>
      </c>
      <c r="E15" s="1" t="s">
        <v>43</v>
      </c>
      <c r="F15">
        <v>1</v>
      </c>
      <c r="G15" t="s">
        <v>42</v>
      </c>
      <c r="H15">
        <f t="shared" si="0"/>
        <v>523</v>
      </c>
    </row>
    <row r="16" spans="1:8">
      <c r="A16" t="s">
        <v>122</v>
      </c>
      <c r="B16" t="s">
        <v>44</v>
      </c>
      <c r="C16" t="s">
        <v>137</v>
      </c>
      <c r="D16">
        <v>1</v>
      </c>
      <c r="E16" s="1" t="s">
        <v>18</v>
      </c>
      <c r="F16">
        <v>1</v>
      </c>
      <c r="G16" t="s">
        <v>45</v>
      </c>
      <c r="H16">
        <f t="shared" si="0"/>
        <v>158</v>
      </c>
    </row>
    <row r="17" spans="1:8">
      <c r="A17" t="s">
        <v>122</v>
      </c>
      <c r="B17" t="s">
        <v>44</v>
      </c>
      <c r="C17" t="s">
        <v>138</v>
      </c>
      <c r="D17">
        <v>2</v>
      </c>
      <c r="E17" s="1" t="s">
        <v>48</v>
      </c>
      <c r="F17">
        <v>1</v>
      </c>
      <c r="G17" t="s">
        <v>46</v>
      </c>
      <c r="H17">
        <f t="shared" si="0"/>
        <v>1027</v>
      </c>
    </row>
    <row r="18" spans="1:8">
      <c r="A18" t="s">
        <v>122</v>
      </c>
      <c r="B18" t="s">
        <v>44</v>
      </c>
      <c r="C18" t="s">
        <v>139</v>
      </c>
      <c r="D18">
        <v>3</v>
      </c>
      <c r="E18" s="1" t="s">
        <v>49</v>
      </c>
      <c r="F18">
        <v>1</v>
      </c>
      <c r="G18" t="s">
        <v>47</v>
      </c>
      <c r="H18">
        <f t="shared" si="0"/>
        <v>820</v>
      </c>
    </row>
    <row r="19" spans="1:8">
      <c r="A19" t="s">
        <v>122</v>
      </c>
      <c r="B19" t="s">
        <v>44</v>
      </c>
      <c r="C19" t="s">
        <v>140</v>
      </c>
      <c r="D19">
        <v>3</v>
      </c>
      <c r="E19" s="1" t="s">
        <v>51</v>
      </c>
      <c r="F19">
        <v>2</v>
      </c>
      <c r="G19" t="s">
        <v>50</v>
      </c>
      <c r="H19">
        <f t="shared" si="0"/>
        <v>736</v>
      </c>
    </row>
    <row r="20" spans="1:8">
      <c r="A20" t="s">
        <v>122</v>
      </c>
      <c r="B20" t="s">
        <v>44</v>
      </c>
      <c r="C20" t="s">
        <v>141</v>
      </c>
      <c r="D20">
        <v>3</v>
      </c>
      <c r="E20" s="1" t="s">
        <v>28</v>
      </c>
      <c r="F20">
        <v>3</v>
      </c>
      <c r="G20" t="s">
        <v>52</v>
      </c>
      <c r="H20">
        <f t="shared" si="0"/>
        <v>732</v>
      </c>
    </row>
    <row r="21" spans="1:8">
      <c r="A21" t="s">
        <v>122</v>
      </c>
      <c r="B21" t="s">
        <v>44</v>
      </c>
      <c r="C21" t="s">
        <v>142</v>
      </c>
      <c r="D21">
        <v>3</v>
      </c>
      <c r="E21" s="1" t="s">
        <v>33</v>
      </c>
      <c r="F21">
        <v>4</v>
      </c>
      <c r="G21" t="s">
        <v>53</v>
      </c>
      <c r="H21">
        <f t="shared" si="0"/>
        <v>397</v>
      </c>
    </row>
    <row r="22" spans="1:8">
      <c r="A22" t="s">
        <v>122</v>
      </c>
      <c r="B22" t="s">
        <v>44</v>
      </c>
      <c r="C22" t="s">
        <v>143</v>
      </c>
      <c r="D22">
        <v>3</v>
      </c>
      <c r="E22" s="1" t="s">
        <v>30</v>
      </c>
      <c r="F22">
        <v>5</v>
      </c>
      <c r="G22" t="s">
        <v>54</v>
      </c>
      <c r="H22">
        <f t="shared" si="0"/>
        <v>849</v>
      </c>
    </row>
    <row r="23" spans="1:8">
      <c r="A23" t="s">
        <v>122</v>
      </c>
      <c r="B23" t="s">
        <v>44</v>
      </c>
      <c r="C23" t="s">
        <v>144</v>
      </c>
      <c r="D23">
        <v>4.0999999999999996</v>
      </c>
      <c r="E23" s="1" t="s">
        <v>56</v>
      </c>
      <c r="F23">
        <v>1</v>
      </c>
      <c r="G23" t="s">
        <v>55</v>
      </c>
      <c r="H23">
        <f t="shared" si="0"/>
        <v>1020</v>
      </c>
    </row>
    <row r="24" spans="1:8">
      <c r="A24" t="s">
        <v>122</v>
      </c>
      <c r="B24" t="s">
        <v>44</v>
      </c>
      <c r="C24" t="s">
        <v>145</v>
      </c>
      <c r="D24">
        <v>4.2</v>
      </c>
      <c r="E24" s="1" t="s">
        <v>37</v>
      </c>
      <c r="F24">
        <v>1</v>
      </c>
      <c r="G24" t="s">
        <v>57</v>
      </c>
      <c r="H24">
        <f t="shared" si="0"/>
        <v>804</v>
      </c>
    </row>
    <row r="25" spans="1:8">
      <c r="A25" t="s">
        <v>122</v>
      </c>
      <c r="B25" t="s">
        <v>44</v>
      </c>
      <c r="C25" t="s">
        <v>146</v>
      </c>
      <c r="D25">
        <v>4.2</v>
      </c>
      <c r="E25" s="1" t="s">
        <v>38</v>
      </c>
      <c r="F25">
        <v>2</v>
      </c>
      <c r="G25" t="s">
        <v>58</v>
      </c>
      <c r="H25">
        <f t="shared" si="0"/>
        <v>861</v>
      </c>
    </row>
    <row r="26" spans="1:8">
      <c r="A26" t="s">
        <v>122</v>
      </c>
      <c r="B26" t="s">
        <v>44</v>
      </c>
      <c r="C26" t="s">
        <v>147</v>
      </c>
      <c r="D26">
        <v>4.2</v>
      </c>
      <c r="E26" s="1" t="s">
        <v>41</v>
      </c>
      <c r="F26">
        <v>3</v>
      </c>
      <c r="G26" t="s">
        <v>59</v>
      </c>
      <c r="H26">
        <f t="shared" si="0"/>
        <v>557</v>
      </c>
    </row>
    <row r="27" spans="1:8">
      <c r="A27" t="s">
        <v>122</v>
      </c>
      <c r="B27" t="s">
        <v>44</v>
      </c>
      <c r="C27" t="s">
        <v>148</v>
      </c>
      <c r="D27">
        <v>5</v>
      </c>
      <c r="E27" s="1" t="s">
        <v>43</v>
      </c>
      <c r="F27">
        <v>1</v>
      </c>
      <c r="G27" t="s">
        <v>60</v>
      </c>
      <c r="H27">
        <f t="shared" si="0"/>
        <v>832</v>
      </c>
    </row>
    <row r="28" spans="1:8">
      <c r="A28" t="s">
        <v>122</v>
      </c>
      <c r="B28" t="s">
        <v>44</v>
      </c>
      <c r="C28" t="s">
        <v>149</v>
      </c>
      <c r="D28">
        <v>5</v>
      </c>
      <c r="E28" s="1" t="s">
        <v>62</v>
      </c>
      <c r="F28">
        <v>2</v>
      </c>
      <c r="G28" t="s">
        <v>61</v>
      </c>
      <c r="H28">
        <f t="shared" si="0"/>
        <v>639</v>
      </c>
    </row>
    <row r="29" spans="1:8">
      <c r="A29" t="s">
        <v>122</v>
      </c>
      <c r="B29" t="s">
        <v>44</v>
      </c>
      <c r="C29" t="s">
        <v>150</v>
      </c>
      <c r="D29">
        <v>5</v>
      </c>
      <c r="E29" s="1" t="s">
        <v>64</v>
      </c>
      <c r="F29" s="2">
        <v>3</v>
      </c>
      <c r="G29" t="s">
        <v>63</v>
      </c>
      <c r="H29">
        <f t="shared" si="0"/>
        <v>742</v>
      </c>
    </row>
    <row r="30" spans="1:8">
      <c r="A30" t="s">
        <v>122</v>
      </c>
      <c r="B30" t="s">
        <v>44</v>
      </c>
      <c r="C30" t="s">
        <v>151</v>
      </c>
      <c r="D30">
        <v>5</v>
      </c>
      <c r="E30" s="1" t="s">
        <v>66</v>
      </c>
      <c r="F30">
        <v>4</v>
      </c>
      <c r="G30" t="s">
        <v>65</v>
      </c>
      <c r="H30">
        <f t="shared" si="0"/>
        <v>581</v>
      </c>
    </row>
    <row r="31" spans="1:8">
      <c r="A31" t="s">
        <v>122</v>
      </c>
      <c r="B31" t="s">
        <v>44</v>
      </c>
      <c r="C31" t="s">
        <v>152</v>
      </c>
      <c r="D31">
        <v>5</v>
      </c>
      <c r="E31" s="1" t="s">
        <v>68</v>
      </c>
      <c r="F31">
        <v>5</v>
      </c>
      <c r="G31" t="s">
        <v>67</v>
      </c>
      <c r="H31">
        <f t="shared" si="0"/>
        <v>521</v>
      </c>
    </row>
    <row r="32" spans="1:8">
      <c r="A32" t="s">
        <v>122</v>
      </c>
      <c r="B32" t="s">
        <v>44</v>
      </c>
      <c r="C32" t="s">
        <v>153</v>
      </c>
      <c r="D32">
        <v>5</v>
      </c>
      <c r="E32" s="1" t="s">
        <v>70</v>
      </c>
      <c r="F32">
        <v>6</v>
      </c>
      <c r="G32" t="s">
        <v>69</v>
      </c>
      <c r="H32">
        <f t="shared" si="0"/>
        <v>323</v>
      </c>
    </row>
    <row r="33" spans="1:8">
      <c r="A33" t="s">
        <v>122</v>
      </c>
      <c r="B33" t="s">
        <v>44</v>
      </c>
      <c r="C33" t="s">
        <v>154</v>
      </c>
      <c r="D33">
        <v>5</v>
      </c>
      <c r="E33" s="1" t="s">
        <v>79</v>
      </c>
      <c r="F33">
        <v>7</v>
      </c>
      <c r="G33" t="s">
        <v>71</v>
      </c>
      <c r="H33">
        <f t="shared" si="0"/>
        <v>716</v>
      </c>
    </row>
    <row r="34" spans="1:8">
      <c r="A34" t="s">
        <v>122</v>
      </c>
      <c r="B34" t="s">
        <v>44</v>
      </c>
      <c r="C34" t="s">
        <v>155</v>
      </c>
      <c r="D34">
        <v>5</v>
      </c>
      <c r="E34" s="1" t="s">
        <v>80</v>
      </c>
      <c r="F34">
        <v>8</v>
      </c>
      <c r="G34" t="s">
        <v>72</v>
      </c>
      <c r="H34">
        <f t="shared" si="0"/>
        <v>576</v>
      </c>
    </row>
    <row r="35" spans="1:8">
      <c r="A35" t="s">
        <v>122</v>
      </c>
      <c r="B35" t="s">
        <v>44</v>
      </c>
      <c r="C35" t="s">
        <v>156</v>
      </c>
      <c r="D35">
        <v>6</v>
      </c>
      <c r="E35" s="1" t="s">
        <v>81</v>
      </c>
      <c r="F35">
        <v>1</v>
      </c>
      <c r="G35" t="s">
        <v>73</v>
      </c>
      <c r="H35">
        <f t="shared" si="0"/>
        <v>712</v>
      </c>
    </row>
    <row r="36" spans="1:8">
      <c r="A36" t="s">
        <v>122</v>
      </c>
      <c r="B36" t="s">
        <v>44</v>
      </c>
      <c r="C36" t="s">
        <v>157</v>
      </c>
      <c r="D36">
        <v>6</v>
      </c>
      <c r="E36" s="1" t="s">
        <v>82</v>
      </c>
      <c r="F36">
        <v>2</v>
      </c>
      <c r="G36" t="s">
        <v>74</v>
      </c>
      <c r="H36">
        <f t="shared" si="0"/>
        <v>861</v>
      </c>
    </row>
    <row r="37" spans="1:8">
      <c r="A37" t="s">
        <v>122</v>
      </c>
      <c r="B37" t="s">
        <v>44</v>
      </c>
      <c r="C37" t="s">
        <v>158</v>
      </c>
      <c r="D37">
        <v>6</v>
      </c>
      <c r="E37" s="1" t="s">
        <v>83</v>
      </c>
      <c r="F37">
        <v>3</v>
      </c>
      <c r="G37" t="s">
        <v>75</v>
      </c>
      <c r="H37">
        <f t="shared" si="0"/>
        <v>681</v>
      </c>
    </row>
    <row r="38" spans="1:8">
      <c r="A38" t="s">
        <v>122</v>
      </c>
      <c r="B38" t="s">
        <v>44</v>
      </c>
      <c r="C38" t="s">
        <v>159</v>
      </c>
      <c r="D38">
        <v>6</v>
      </c>
      <c r="E38" s="1" t="s">
        <v>84</v>
      </c>
      <c r="F38">
        <v>4</v>
      </c>
      <c r="G38" t="s">
        <v>76</v>
      </c>
      <c r="H38">
        <f t="shared" si="0"/>
        <v>423</v>
      </c>
    </row>
    <row r="39" spans="1:8">
      <c r="A39" t="s">
        <v>122</v>
      </c>
      <c r="B39" t="s">
        <v>44</v>
      </c>
      <c r="C39" t="s">
        <v>160</v>
      </c>
      <c r="D39">
        <v>6</v>
      </c>
      <c r="E39" s="1" t="s">
        <v>78</v>
      </c>
      <c r="F39">
        <v>5</v>
      </c>
      <c r="G39" t="s">
        <v>77</v>
      </c>
      <c r="H39">
        <f t="shared" si="0"/>
        <v>412</v>
      </c>
    </row>
    <row r="40" spans="1:8">
      <c r="A40" t="s">
        <v>123</v>
      </c>
      <c r="B40" t="s">
        <v>86</v>
      </c>
      <c r="C40" t="s">
        <v>161</v>
      </c>
      <c r="D40">
        <v>1</v>
      </c>
      <c r="E40" s="1" t="s">
        <v>18</v>
      </c>
      <c r="F40">
        <v>1</v>
      </c>
      <c r="G40" t="s">
        <v>85</v>
      </c>
      <c r="H40">
        <f t="shared" si="0"/>
        <v>146</v>
      </c>
    </row>
    <row r="41" spans="1:8">
      <c r="A41" t="s">
        <v>123</v>
      </c>
      <c r="B41" t="s">
        <v>86</v>
      </c>
      <c r="C41" t="s">
        <v>162</v>
      </c>
      <c r="D41">
        <v>2.1</v>
      </c>
      <c r="E41" s="1" t="s">
        <v>19</v>
      </c>
      <c r="F41">
        <v>1</v>
      </c>
      <c r="G41" t="s">
        <v>87</v>
      </c>
      <c r="H41">
        <f t="shared" si="0"/>
        <v>714</v>
      </c>
    </row>
    <row r="42" spans="1:8">
      <c r="A42" t="s">
        <v>123</v>
      </c>
      <c r="B42" t="s">
        <v>86</v>
      </c>
      <c r="C42" t="s">
        <v>163</v>
      </c>
      <c r="D42">
        <v>2.1</v>
      </c>
      <c r="E42" s="1" t="s">
        <v>22</v>
      </c>
      <c r="F42">
        <v>2</v>
      </c>
      <c r="G42" t="s">
        <v>88</v>
      </c>
      <c r="H42">
        <f t="shared" si="0"/>
        <v>491</v>
      </c>
    </row>
    <row r="43" spans="1:8">
      <c r="A43" t="s">
        <v>123</v>
      </c>
      <c r="B43" t="s">
        <v>86</v>
      </c>
      <c r="C43" t="s">
        <v>164</v>
      </c>
      <c r="D43">
        <v>2.2000000000000002</v>
      </c>
      <c r="E43" s="1" t="s">
        <v>90</v>
      </c>
      <c r="F43">
        <v>1</v>
      </c>
      <c r="G43" t="s">
        <v>89</v>
      </c>
      <c r="H43">
        <f t="shared" si="0"/>
        <v>649</v>
      </c>
    </row>
    <row r="44" spans="1:8">
      <c r="A44" t="s">
        <v>123</v>
      </c>
      <c r="B44" t="s">
        <v>86</v>
      </c>
      <c r="C44" t="s">
        <v>165</v>
      </c>
      <c r="D44">
        <v>3</v>
      </c>
      <c r="E44" s="1" t="s">
        <v>51</v>
      </c>
      <c r="F44">
        <v>1</v>
      </c>
      <c r="G44" t="s">
        <v>91</v>
      </c>
      <c r="H44">
        <f t="shared" si="0"/>
        <v>253</v>
      </c>
    </row>
    <row r="45" spans="1:8">
      <c r="A45" t="s">
        <v>123</v>
      </c>
      <c r="B45" t="s">
        <v>86</v>
      </c>
      <c r="C45" t="s">
        <v>166</v>
      </c>
      <c r="D45">
        <v>4</v>
      </c>
      <c r="E45" s="1" t="s">
        <v>33</v>
      </c>
      <c r="F45">
        <v>1</v>
      </c>
      <c r="G45" t="s">
        <v>93</v>
      </c>
      <c r="H45">
        <f t="shared" si="0"/>
        <v>327</v>
      </c>
    </row>
    <row r="46" spans="1:8">
      <c r="A46" t="s">
        <v>123</v>
      </c>
      <c r="B46" t="s">
        <v>86</v>
      </c>
      <c r="C46" t="s">
        <v>167</v>
      </c>
      <c r="D46">
        <v>4</v>
      </c>
      <c r="E46" s="1" t="s">
        <v>30</v>
      </c>
      <c r="F46">
        <v>2</v>
      </c>
      <c r="G46" t="s">
        <v>92</v>
      </c>
      <c r="H46">
        <f t="shared" si="0"/>
        <v>705</v>
      </c>
    </row>
    <row r="47" spans="1:8">
      <c r="A47" t="s">
        <v>123</v>
      </c>
      <c r="B47" t="s">
        <v>86</v>
      </c>
      <c r="C47" t="s">
        <v>168</v>
      </c>
      <c r="D47">
        <v>4</v>
      </c>
      <c r="E47" s="1" t="s">
        <v>95</v>
      </c>
      <c r="F47">
        <v>3</v>
      </c>
      <c r="G47" t="s">
        <v>94</v>
      </c>
      <c r="H47">
        <f t="shared" si="0"/>
        <v>552</v>
      </c>
    </row>
    <row r="48" spans="1:8">
      <c r="A48" t="s">
        <v>123</v>
      </c>
      <c r="B48" t="s">
        <v>86</v>
      </c>
      <c r="C48" t="s">
        <v>169</v>
      </c>
      <c r="D48">
        <v>4</v>
      </c>
      <c r="E48" s="1" t="s">
        <v>56</v>
      </c>
      <c r="F48">
        <v>4</v>
      </c>
      <c r="G48" t="s">
        <v>96</v>
      </c>
      <c r="H48">
        <f t="shared" si="0"/>
        <v>357</v>
      </c>
    </row>
    <row r="49" spans="1:8">
      <c r="A49" t="s">
        <v>123</v>
      </c>
      <c r="B49" t="s">
        <v>86</v>
      </c>
      <c r="C49" t="s">
        <v>170</v>
      </c>
      <c r="D49">
        <v>5.0999999999999996</v>
      </c>
      <c r="E49" s="1" t="s">
        <v>98</v>
      </c>
      <c r="F49">
        <v>1</v>
      </c>
      <c r="G49" t="s">
        <v>97</v>
      </c>
      <c r="H49">
        <f t="shared" si="0"/>
        <v>572</v>
      </c>
    </row>
    <row r="50" spans="1:8">
      <c r="A50" t="s">
        <v>123</v>
      </c>
      <c r="B50" t="s">
        <v>86</v>
      </c>
      <c r="C50" t="s">
        <v>171</v>
      </c>
      <c r="D50">
        <v>5.0999999999999996</v>
      </c>
      <c r="E50" s="1" t="s">
        <v>38</v>
      </c>
      <c r="F50">
        <v>2</v>
      </c>
      <c r="G50" t="s">
        <v>99</v>
      </c>
      <c r="H50">
        <f t="shared" si="0"/>
        <v>831</v>
      </c>
    </row>
    <row r="51" spans="1:8">
      <c r="A51" t="s">
        <v>123</v>
      </c>
      <c r="B51" t="s">
        <v>86</v>
      </c>
      <c r="C51" t="s">
        <v>172</v>
      </c>
      <c r="D51">
        <v>5.0999999999999996</v>
      </c>
      <c r="E51" s="1" t="s">
        <v>100</v>
      </c>
      <c r="F51">
        <v>3</v>
      </c>
      <c r="G51" t="s">
        <v>101</v>
      </c>
      <c r="H51">
        <f t="shared" si="0"/>
        <v>786</v>
      </c>
    </row>
    <row r="52" spans="1:8">
      <c r="A52" t="s">
        <v>123</v>
      </c>
      <c r="B52" t="s">
        <v>86</v>
      </c>
      <c r="C52" t="s">
        <v>173</v>
      </c>
      <c r="D52">
        <v>5.2</v>
      </c>
      <c r="E52" s="1" t="s">
        <v>43</v>
      </c>
      <c r="F52">
        <v>1</v>
      </c>
      <c r="G52" t="s">
        <v>102</v>
      </c>
      <c r="H52">
        <f t="shared" si="0"/>
        <v>636</v>
      </c>
    </row>
    <row r="53" spans="1:8">
      <c r="A53" t="s">
        <v>123</v>
      </c>
      <c r="B53" t="s">
        <v>86</v>
      </c>
      <c r="C53" t="s">
        <v>174</v>
      </c>
      <c r="D53">
        <v>5.2</v>
      </c>
      <c r="E53" s="1" t="s">
        <v>62</v>
      </c>
      <c r="F53">
        <v>2</v>
      </c>
      <c r="G53" t="s">
        <v>103</v>
      </c>
      <c r="H53">
        <f t="shared" si="0"/>
        <v>636</v>
      </c>
    </row>
    <row r="54" spans="1:8">
      <c r="A54" t="s">
        <v>123</v>
      </c>
      <c r="B54" t="s">
        <v>86</v>
      </c>
      <c r="C54" t="s">
        <v>175</v>
      </c>
      <c r="D54">
        <v>5.2</v>
      </c>
      <c r="E54" s="1" t="s">
        <v>105</v>
      </c>
      <c r="F54">
        <v>3</v>
      </c>
      <c r="G54" t="s">
        <v>104</v>
      </c>
      <c r="H54">
        <f t="shared" si="0"/>
        <v>818</v>
      </c>
    </row>
    <row r="55" spans="1:8">
      <c r="A55" t="s">
        <v>123</v>
      </c>
      <c r="B55" t="s">
        <v>86</v>
      </c>
      <c r="C55" t="s">
        <v>176</v>
      </c>
      <c r="D55">
        <v>6</v>
      </c>
      <c r="E55" s="1" t="s">
        <v>70</v>
      </c>
      <c r="F55">
        <v>1</v>
      </c>
      <c r="G55" t="s">
        <v>106</v>
      </c>
      <c r="H55">
        <f t="shared" si="0"/>
        <v>581</v>
      </c>
    </row>
    <row r="56" spans="1:8">
      <c r="A56" t="s">
        <v>123</v>
      </c>
      <c r="B56" t="s">
        <v>86</v>
      </c>
      <c r="C56" t="s">
        <v>177</v>
      </c>
      <c r="D56">
        <v>7</v>
      </c>
      <c r="E56" s="1" t="s">
        <v>108</v>
      </c>
      <c r="F56">
        <v>1</v>
      </c>
      <c r="G56" t="s">
        <v>107</v>
      </c>
      <c r="H56">
        <f t="shared" si="0"/>
        <v>726</v>
      </c>
    </row>
    <row r="57" spans="1:8">
      <c r="A57" t="s">
        <v>123</v>
      </c>
      <c r="B57" t="s">
        <v>86</v>
      </c>
      <c r="C57" t="s">
        <v>178</v>
      </c>
      <c r="D57">
        <v>8.1</v>
      </c>
      <c r="E57" s="1" t="s">
        <v>110</v>
      </c>
      <c r="F57">
        <v>1</v>
      </c>
      <c r="G57" t="s">
        <v>109</v>
      </c>
      <c r="H57">
        <f t="shared" si="0"/>
        <v>510</v>
      </c>
    </row>
    <row r="58" spans="1:8">
      <c r="A58" t="s">
        <v>123</v>
      </c>
      <c r="B58" t="s">
        <v>86</v>
      </c>
      <c r="C58" t="s">
        <v>179</v>
      </c>
      <c r="D58">
        <v>8.1999999999999993</v>
      </c>
      <c r="E58" s="1" t="s">
        <v>112</v>
      </c>
      <c r="F58">
        <v>1</v>
      </c>
      <c r="G58" t="s">
        <v>111</v>
      </c>
      <c r="H58">
        <f t="shared" si="0"/>
        <v>602</v>
      </c>
    </row>
    <row r="59" spans="1:8">
      <c r="A59" t="s">
        <v>123</v>
      </c>
      <c r="B59" t="s">
        <v>86</v>
      </c>
      <c r="C59" t="s">
        <v>180</v>
      </c>
      <c r="D59">
        <v>8.1999999999999993</v>
      </c>
      <c r="E59" s="1" t="s">
        <v>81</v>
      </c>
      <c r="F59">
        <v>2</v>
      </c>
      <c r="G59" t="s">
        <v>113</v>
      </c>
      <c r="H59">
        <f t="shared" si="0"/>
        <v>574</v>
      </c>
    </row>
    <row r="60" spans="1:8">
      <c r="A60" t="s">
        <v>123</v>
      </c>
      <c r="B60" t="s">
        <v>86</v>
      </c>
      <c r="C60" t="s">
        <v>181</v>
      </c>
      <c r="D60">
        <v>8.3000000000000007</v>
      </c>
      <c r="E60" s="1" t="s">
        <v>82</v>
      </c>
      <c r="F60">
        <v>1</v>
      </c>
      <c r="G60" t="s">
        <v>114</v>
      </c>
      <c r="H60">
        <f t="shared" si="0"/>
        <v>303</v>
      </c>
    </row>
    <row r="61" spans="1:8">
      <c r="A61" t="s">
        <v>123</v>
      </c>
      <c r="B61" t="s">
        <v>86</v>
      </c>
      <c r="C61" t="s">
        <v>182</v>
      </c>
      <c r="D61">
        <v>8.4</v>
      </c>
      <c r="E61" s="1" t="s">
        <v>116</v>
      </c>
      <c r="F61">
        <v>1</v>
      </c>
      <c r="G61" t="s">
        <v>115</v>
      </c>
      <c r="H61">
        <f t="shared" si="0"/>
        <v>397</v>
      </c>
    </row>
    <row r="62" spans="1:8">
      <c r="A62" t="s">
        <v>123</v>
      </c>
      <c r="B62" t="s">
        <v>86</v>
      </c>
      <c r="C62" t="s">
        <v>183</v>
      </c>
      <c r="D62">
        <v>8.5</v>
      </c>
      <c r="E62" s="1" t="s">
        <v>117</v>
      </c>
      <c r="F62">
        <v>1</v>
      </c>
      <c r="G62" t="s">
        <v>118</v>
      </c>
      <c r="H62">
        <f t="shared" si="0"/>
        <v>243</v>
      </c>
    </row>
    <row r="63" spans="1:8">
      <c r="A63" t="s">
        <v>123</v>
      </c>
      <c r="B63" t="s">
        <v>86</v>
      </c>
      <c r="C63" t="s">
        <v>184</v>
      </c>
      <c r="D63">
        <v>9</v>
      </c>
      <c r="E63" s="1" t="s">
        <v>78</v>
      </c>
      <c r="F63">
        <v>1</v>
      </c>
      <c r="G63" t="s">
        <v>120</v>
      </c>
      <c r="H63">
        <f t="shared" si="0"/>
        <v>429</v>
      </c>
    </row>
    <row r="64" spans="1:8">
      <c r="A64" t="s">
        <v>123</v>
      </c>
      <c r="B64" t="s">
        <v>86</v>
      </c>
      <c r="C64" t="s">
        <v>185</v>
      </c>
      <c r="D64">
        <v>9</v>
      </c>
      <c r="E64" s="1" t="s">
        <v>119</v>
      </c>
      <c r="F64">
        <v>2</v>
      </c>
      <c r="G64" t="s">
        <v>121</v>
      </c>
      <c r="H64">
        <f t="shared" si="0"/>
        <v>441</v>
      </c>
    </row>
    <row r="65" spans="1:8">
      <c r="A65" t="s">
        <v>187</v>
      </c>
      <c r="B65" t="s">
        <v>186</v>
      </c>
      <c r="C65" t="s">
        <v>243</v>
      </c>
      <c r="D65">
        <v>1</v>
      </c>
      <c r="E65" s="1" t="s">
        <v>18</v>
      </c>
      <c r="F65">
        <v>1</v>
      </c>
      <c r="G65" t="s">
        <v>188</v>
      </c>
      <c r="H65">
        <f t="shared" si="0"/>
        <v>170</v>
      </c>
    </row>
    <row r="66" spans="1:8">
      <c r="A66" t="s">
        <v>187</v>
      </c>
      <c r="B66" t="s">
        <v>186</v>
      </c>
      <c r="C66" t="s">
        <v>244</v>
      </c>
      <c r="D66" s="3">
        <v>2.1</v>
      </c>
      <c r="E66" s="1" t="s">
        <v>19</v>
      </c>
      <c r="F66">
        <v>1</v>
      </c>
      <c r="G66" t="s">
        <v>189</v>
      </c>
      <c r="H66">
        <f t="shared" si="0"/>
        <v>578</v>
      </c>
    </row>
    <row r="67" spans="1:8">
      <c r="A67" t="s">
        <v>187</v>
      </c>
      <c r="B67" t="s">
        <v>186</v>
      </c>
      <c r="C67" t="s">
        <v>245</v>
      </c>
      <c r="D67" s="3">
        <v>2.1</v>
      </c>
      <c r="E67" s="1" t="s">
        <v>22</v>
      </c>
      <c r="F67">
        <v>2</v>
      </c>
      <c r="G67" t="s">
        <v>190</v>
      </c>
      <c r="H67">
        <f t="shared" si="0"/>
        <v>559</v>
      </c>
    </row>
    <row r="68" spans="1:8">
      <c r="A68" t="s">
        <v>187</v>
      </c>
      <c r="B68" t="s">
        <v>186</v>
      </c>
      <c r="C68" t="s">
        <v>246</v>
      </c>
      <c r="D68" s="3">
        <v>2.1</v>
      </c>
      <c r="E68" s="1" t="s">
        <v>191</v>
      </c>
      <c r="F68">
        <v>3</v>
      </c>
      <c r="G68" t="s">
        <v>192</v>
      </c>
      <c r="H68">
        <f t="shared" si="0"/>
        <v>402</v>
      </c>
    </row>
    <row r="69" spans="1:8">
      <c r="A69" t="s">
        <v>187</v>
      </c>
      <c r="B69" t="s">
        <v>186</v>
      </c>
      <c r="C69" t="s">
        <v>247</v>
      </c>
      <c r="D69" s="3">
        <v>2.2000000000000002</v>
      </c>
      <c r="E69" s="1" t="s">
        <v>194</v>
      </c>
      <c r="F69">
        <v>1</v>
      </c>
      <c r="G69" t="s">
        <v>193</v>
      </c>
      <c r="H69">
        <f t="shared" si="0"/>
        <v>457</v>
      </c>
    </row>
    <row r="70" spans="1:8">
      <c r="A70" t="s">
        <v>187</v>
      </c>
      <c r="B70" t="s">
        <v>186</v>
      </c>
      <c r="C70" t="s">
        <v>248</v>
      </c>
      <c r="D70" s="3">
        <v>2.2000000000000002</v>
      </c>
      <c r="E70" s="1" t="s">
        <v>25</v>
      </c>
      <c r="F70">
        <v>2</v>
      </c>
      <c r="G70" t="s">
        <v>195</v>
      </c>
      <c r="H70">
        <f t="shared" si="0"/>
        <v>434</v>
      </c>
    </row>
    <row r="71" spans="1:8">
      <c r="A71" t="s">
        <v>187</v>
      </c>
      <c r="B71" t="s">
        <v>186</v>
      </c>
      <c r="C71" t="s">
        <v>249</v>
      </c>
      <c r="D71" s="3">
        <v>3</v>
      </c>
      <c r="E71" s="1" t="s">
        <v>30</v>
      </c>
      <c r="F71">
        <v>1</v>
      </c>
      <c r="G71" t="s">
        <v>196</v>
      </c>
      <c r="H71">
        <f t="shared" si="0"/>
        <v>692</v>
      </c>
    </row>
    <row r="72" spans="1:8">
      <c r="A72" t="s">
        <v>187</v>
      </c>
      <c r="B72" t="s">
        <v>186</v>
      </c>
      <c r="C72" t="s">
        <v>250</v>
      </c>
      <c r="D72" s="3">
        <v>4.0999999999999996</v>
      </c>
      <c r="E72" s="1" t="s">
        <v>95</v>
      </c>
      <c r="F72">
        <v>1</v>
      </c>
      <c r="G72" t="s">
        <v>197</v>
      </c>
      <c r="H72">
        <f t="shared" si="0"/>
        <v>465</v>
      </c>
    </row>
    <row r="73" spans="1:8">
      <c r="A73" t="s">
        <v>187</v>
      </c>
      <c r="B73" t="s">
        <v>186</v>
      </c>
      <c r="C73" t="s">
        <v>251</v>
      </c>
      <c r="D73" s="3">
        <v>4.2</v>
      </c>
      <c r="E73" s="1" t="s">
        <v>56</v>
      </c>
      <c r="F73">
        <v>1</v>
      </c>
      <c r="G73" t="s">
        <v>198</v>
      </c>
      <c r="H73">
        <f t="shared" si="0"/>
        <v>467</v>
      </c>
    </row>
    <row r="74" spans="1:8">
      <c r="A74" t="s">
        <v>187</v>
      </c>
      <c r="B74" t="s">
        <v>186</v>
      </c>
      <c r="C74" t="s">
        <v>252</v>
      </c>
      <c r="D74" s="3">
        <v>4.2</v>
      </c>
      <c r="E74" s="1" t="s">
        <v>37</v>
      </c>
      <c r="F74">
        <v>2</v>
      </c>
      <c r="G74" t="s">
        <v>199</v>
      </c>
      <c r="H74">
        <f t="shared" si="0"/>
        <v>556</v>
      </c>
    </row>
    <row r="75" spans="1:8">
      <c r="A75" t="s">
        <v>187</v>
      </c>
      <c r="B75" t="s">
        <v>186</v>
      </c>
      <c r="C75" t="s">
        <v>253</v>
      </c>
      <c r="D75" s="3">
        <v>4.2</v>
      </c>
      <c r="E75" s="1" t="s">
        <v>98</v>
      </c>
      <c r="F75">
        <v>3</v>
      </c>
      <c r="G75" t="s">
        <v>200</v>
      </c>
      <c r="H75">
        <f t="shared" si="0"/>
        <v>670</v>
      </c>
    </row>
    <row r="76" spans="1:8">
      <c r="A76" t="s">
        <v>187</v>
      </c>
      <c r="B76" t="s">
        <v>186</v>
      </c>
      <c r="C76" t="s">
        <v>254</v>
      </c>
      <c r="D76" s="3">
        <v>4.3</v>
      </c>
      <c r="E76" s="1" t="s">
        <v>38</v>
      </c>
      <c r="F76">
        <v>1</v>
      </c>
      <c r="G76" t="s">
        <v>201</v>
      </c>
      <c r="H76">
        <f t="shared" si="0"/>
        <v>379</v>
      </c>
    </row>
    <row r="77" spans="1:8">
      <c r="A77" t="s">
        <v>187</v>
      </c>
      <c r="B77" t="s">
        <v>186</v>
      </c>
      <c r="C77" t="s">
        <v>255</v>
      </c>
      <c r="D77" s="3">
        <v>4.4000000000000004</v>
      </c>
      <c r="E77" s="1" t="s">
        <v>41</v>
      </c>
      <c r="F77">
        <v>1</v>
      </c>
      <c r="G77" t="s">
        <v>202</v>
      </c>
      <c r="H77">
        <f t="shared" si="0"/>
        <v>668</v>
      </c>
    </row>
    <row r="78" spans="1:8">
      <c r="A78" t="s">
        <v>187</v>
      </c>
      <c r="B78" t="s">
        <v>186</v>
      </c>
      <c r="C78" t="s">
        <v>256</v>
      </c>
      <c r="D78" s="3">
        <v>5.0999999999999996</v>
      </c>
      <c r="E78" s="1" t="s">
        <v>43</v>
      </c>
      <c r="F78">
        <v>1</v>
      </c>
      <c r="G78" t="s">
        <v>203</v>
      </c>
      <c r="H78">
        <f t="shared" si="0"/>
        <v>553</v>
      </c>
    </row>
    <row r="79" spans="1:8">
      <c r="A79" t="s">
        <v>187</v>
      </c>
      <c r="B79" t="s">
        <v>186</v>
      </c>
      <c r="C79" t="s">
        <v>257</v>
      </c>
      <c r="D79" s="3">
        <v>5.0999999999999996</v>
      </c>
      <c r="E79" s="1" t="s">
        <v>62</v>
      </c>
      <c r="F79">
        <v>2</v>
      </c>
      <c r="G79" t="s">
        <v>204</v>
      </c>
      <c r="H79">
        <f t="shared" si="0"/>
        <v>581</v>
      </c>
    </row>
    <row r="80" spans="1:8">
      <c r="A80" t="s">
        <v>187</v>
      </c>
      <c r="B80" t="s">
        <v>186</v>
      </c>
      <c r="C80" t="s">
        <v>258</v>
      </c>
      <c r="D80" s="3">
        <v>5.2</v>
      </c>
      <c r="E80" s="1" t="s">
        <v>206</v>
      </c>
      <c r="F80">
        <v>1</v>
      </c>
      <c r="G80" t="s">
        <v>205</v>
      </c>
      <c r="H80">
        <f t="shared" si="0"/>
        <v>296</v>
      </c>
    </row>
    <row r="81" spans="1:8">
      <c r="A81" t="s">
        <v>187</v>
      </c>
      <c r="B81" t="s">
        <v>186</v>
      </c>
      <c r="C81" t="s">
        <v>259</v>
      </c>
      <c r="D81" s="3">
        <v>5.3</v>
      </c>
      <c r="E81" s="1" t="s">
        <v>105</v>
      </c>
      <c r="F81">
        <v>1</v>
      </c>
      <c r="G81" t="s">
        <v>207</v>
      </c>
      <c r="H81">
        <f t="shared" si="0"/>
        <v>816</v>
      </c>
    </row>
    <row r="82" spans="1:8">
      <c r="A82" t="s">
        <v>187</v>
      </c>
      <c r="B82" t="s">
        <v>186</v>
      </c>
      <c r="C82" t="s">
        <v>260</v>
      </c>
      <c r="D82" s="3">
        <v>5.3</v>
      </c>
      <c r="E82" s="1" t="s">
        <v>66</v>
      </c>
      <c r="F82">
        <v>2</v>
      </c>
      <c r="G82" t="s">
        <v>208</v>
      </c>
      <c r="H82">
        <f t="shared" si="0"/>
        <v>450</v>
      </c>
    </row>
    <row r="83" spans="1:8">
      <c r="A83" t="s">
        <v>187</v>
      </c>
      <c r="B83" t="s">
        <v>186</v>
      </c>
      <c r="C83" t="s">
        <v>261</v>
      </c>
      <c r="D83" s="3">
        <v>5.4</v>
      </c>
      <c r="E83" s="1" t="s">
        <v>210</v>
      </c>
      <c r="F83">
        <v>1</v>
      </c>
      <c r="G83" t="s">
        <v>209</v>
      </c>
      <c r="H83">
        <f t="shared" si="0"/>
        <v>435</v>
      </c>
    </row>
    <row r="84" spans="1:8">
      <c r="A84" t="s">
        <v>187</v>
      </c>
      <c r="B84" t="s">
        <v>186</v>
      </c>
      <c r="C84" t="s">
        <v>262</v>
      </c>
      <c r="D84" s="3">
        <v>5.4</v>
      </c>
      <c r="E84" s="1" t="s">
        <v>70</v>
      </c>
      <c r="F84">
        <v>2</v>
      </c>
      <c r="G84" t="s">
        <v>211</v>
      </c>
      <c r="H84">
        <f t="shared" si="0"/>
        <v>399</v>
      </c>
    </row>
    <row r="85" spans="1:8">
      <c r="A85" t="s">
        <v>187</v>
      </c>
      <c r="B85" t="s">
        <v>186</v>
      </c>
      <c r="C85" t="s">
        <v>263</v>
      </c>
      <c r="D85" s="3">
        <v>5.4</v>
      </c>
      <c r="E85" s="1" t="s">
        <v>213</v>
      </c>
      <c r="F85">
        <v>3</v>
      </c>
      <c r="G85" t="s">
        <v>212</v>
      </c>
      <c r="H85">
        <f t="shared" si="0"/>
        <v>566</v>
      </c>
    </row>
    <row r="86" spans="1:8">
      <c r="A86" t="s">
        <v>187</v>
      </c>
      <c r="B86" t="s">
        <v>186</v>
      </c>
      <c r="C86" t="s">
        <v>264</v>
      </c>
      <c r="D86" s="3">
        <v>5.5</v>
      </c>
      <c r="E86" s="1" t="s">
        <v>214</v>
      </c>
      <c r="F86">
        <v>1</v>
      </c>
      <c r="G86" t="s">
        <v>215</v>
      </c>
      <c r="H86">
        <f t="shared" si="0"/>
        <v>155</v>
      </c>
    </row>
    <row r="87" spans="1:8">
      <c r="A87" t="s">
        <v>187</v>
      </c>
      <c r="B87" t="s">
        <v>186</v>
      </c>
      <c r="C87" t="s">
        <v>265</v>
      </c>
      <c r="D87" s="3">
        <v>6.1</v>
      </c>
      <c r="E87" s="1" t="s">
        <v>219</v>
      </c>
      <c r="F87">
        <v>1</v>
      </c>
      <c r="G87" t="s">
        <v>220</v>
      </c>
      <c r="H87">
        <f t="shared" si="0"/>
        <v>226</v>
      </c>
    </row>
    <row r="88" spans="1:8">
      <c r="A88" t="s">
        <v>187</v>
      </c>
      <c r="B88" t="s">
        <v>186</v>
      </c>
      <c r="C88" t="s">
        <v>266</v>
      </c>
      <c r="D88" s="3">
        <v>6.2</v>
      </c>
      <c r="E88" s="1" t="s">
        <v>219</v>
      </c>
      <c r="F88">
        <v>1</v>
      </c>
      <c r="G88" t="s">
        <v>216</v>
      </c>
      <c r="H88">
        <f t="shared" si="0"/>
        <v>567</v>
      </c>
    </row>
    <row r="89" spans="1:8">
      <c r="A89" t="s">
        <v>187</v>
      </c>
      <c r="B89" t="s">
        <v>186</v>
      </c>
      <c r="C89" t="s">
        <v>267</v>
      </c>
      <c r="D89" s="3">
        <v>6.2</v>
      </c>
      <c r="E89" s="1" t="s">
        <v>110</v>
      </c>
      <c r="F89">
        <v>2</v>
      </c>
      <c r="G89" t="s">
        <v>217</v>
      </c>
      <c r="H89">
        <f t="shared" si="0"/>
        <v>572</v>
      </c>
    </row>
    <row r="90" spans="1:8">
      <c r="A90" t="s">
        <v>187</v>
      </c>
      <c r="B90" t="s">
        <v>186</v>
      </c>
      <c r="C90" t="s">
        <v>268</v>
      </c>
      <c r="D90" s="3">
        <v>6.2</v>
      </c>
      <c r="E90" s="1" t="s">
        <v>112</v>
      </c>
      <c r="F90">
        <v>3</v>
      </c>
      <c r="G90" t="s">
        <v>218</v>
      </c>
      <c r="H90">
        <f t="shared" si="0"/>
        <v>483</v>
      </c>
    </row>
    <row r="91" spans="1:8">
      <c r="A91" t="s">
        <v>187</v>
      </c>
      <c r="B91" t="s">
        <v>186</v>
      </c>
      <c r="C91" t="s">
        <v>269</v>
      </c>
      <c r="D91" s="3">
        <v>6.2</v>
      </c>
      <c r="E91" s="1" t="s">
        <v>82</v>
      </c>
      <c r="F91">
        <v>4</v>
      </c>
      <c r="G91" t="s">
        <v>223</v>
      </c>
      <c r="H91">
        <f t="shared" si="0"/>
        <v>488</v>
      </c>
    </row>
    <row r="92" spans="1:8">
      <c r="A92" t="s">
        <v>187</v>
      </c>
      <c r="B92" t="s">
        <v>186</v>
      </c>
      <c r="C92" t="s">
        <v>270</v>
      </c>
      <c r="D92" s="3">
        <v>6.2</v>
      </c>
      <c r="E92" s="1" t="s">
        <v>83</v>
      </c>
      <c r="F92">
        <v>5</v>
      </c>
      <c r="G92" t="s">
        <v>224</v>
      </c>
      <c r="H92">
        <f t="shared" si="0"/>
        <v>405</v>
      </c>
    </row>
    <row r="93" spans="1:8">
      <c r="A93" t="s">
        <v>187</v>
      </c>
      <c r="B93" t="s">
        <v>186</v>
      </c>
      <c r="C93" t="s">
        <v>271</v>
      </c>
      <c r="D93" s="3">
        <v>6.3</v>
      </c>
      <c r="E93" s="1" t="s">
        <v>117</v>
      </c>
      <c r="F93">
        <v>1</v>
      </c>
      <c r="G93" t="s">
        <v>221</v>
      </c>
      <c r="H93">
        <f t="shared" si="0"/>
        <v>446</v>
      </c>
    </row>
    <row r="94" spans="1:8">
      <c r="A94" t="s">
        <v>187</v>
      </c>
      <c r="B94" t="s">
        <v>186</v>
      </c>
      <c r="C94" t="s">
        <v>272</v>
      </c>
      <c r="D94" s="3">
        <v>6.3</v>
      </c>
      <c r="E94" s="1" t="s">
        <v>84</v>
      </c>
      <c r="F94">
        <v>2</v>
      </c>
      <c r="G94" t="s">
        <v>222</v>
      </c>
      <c r="H94">
        <f t="shared" si="0"/>
        <v>362</v>
      </c>
    </row>
    <row r="95" spans="1:8">
      <c r="A95" t="s">
        <v>187</v>
      </c>
      <c r="B95" t="s">
        <v>186</v>
      </c>
      <c r="C95" t="s">
        <v>273</v>
      </c>
      <c r="D95" s="3">
        <v>7.1</v>
      </c>
      <c r="E95" s="1" t="s">
        <v>229</v>
      </c>
      <c r="F95">
        <v>1</v>
      </c>
      <c r="G95" t="s">
        <v>225</v>
      </c>
      <c r="H95">
        <f t="shared" si="0"/>
        <v>268</v>
      </c>
    </row>
    <row r="96" spans="1:8">
      <c r="A96" t="s">
        <v>187</v>
      </c>
      <c r="B96" t="s">
        <v>186</v>
      </c>
      <c r="C96" t="s">
        <v>274</v>
      </c>
      <c r="D96" s="3">
        <v>7.2</v>
      </c>
      <c r="E96" s="1" t="s">
        <v>230</v>
      </c>
      <c r="F96">
        <v>1</v>
      </c>
      <c r="G96" t="s">
        <v>226</v>
      </c>
      <c r="H96">
        <f t="shared" si="0"/>
        <v>313</v>
      </c>
    </row>
    <row r="97" spans="1:8">
      <c r="A97" t="s">
        <v>187</v>
      </c>
      <c r="B97" t="s">
        <v>186</v>
      </c>
      <c r="C97" t="s">
        <v>275</v>
      </c>
      <c r="D97" s="3">
        <v>7.3</v>
      </c>
      <c r="E97" s="1" t="s">
        <v>231</v>
      </c>
      <c r="F97">
        <v>1</v>
      </c>
      <c r="G97" t="s">
        <v>227</v>
      </c>
      <c r="H97">
        <f t="shared" si="0"/>
        <v>290</v>
      </c>
    </row>
    <row r="98" spans="1:8">
      <c r="A98" t="s">
        <v>187</v>
      </c>
      <c r="B98" t="s">
        <v>186</v>
      </c>
      <c r="C98" t="s">
        <v>276</v>
      </c>
      <c r="D98" s="3">
        <v>7.4</v>
      </c>
      <c r="E98" s="1" t="s">
        <v>232</v>
      </c>
      <c r="F98">
        <v>1</v>
      </c>
      <c r="G98" t="s">
        <v>228</v>
      </c>
      <c r="H98">
        <f t="shared" si="0"/>
        <v>593</v>
      </c>
    </row>
    <row r="99" spans="1:8">
      <c r="A99" t="s">
        <v>187</v>
      </c>
      <c r="B99" t="s">
        <v>186</v>
      </c>
      <c r="C99" t="s">
        <v>277</v>
      </c>
      <c r="D99" s="3">
        <v>7.5</v>
      </c>
      <c r="E99" s="1" t="s">
        <v>233</v>
      </c>
      <c r="F99">
        <v>1</v>
      </c>
      <c r="G99" t="s">
        <v>235</v>
      </c>
      <c r="H99">
        <f t="shared" si="0"/>
        <v>371</v>
      </c>
    </row>
    <row r="100" spans="1:8">
      <c r="A100" t="s">
        <v>187</v>
      </c>
      <c r="B100" t="s">
        <v>186</v>
      </c>
      <c r="C100" t="s">
        <v>278</v>
      </c>
      <c r="D100" s="3">
        <v>7.5</v>
      </c>
      <c r="E100" s="1" t="s">
        <v>234</v>
      </c>
      <c r="F100">
        <v>2</v>
      </c>
      <c r="G100" t="s">
        <v>236</v>
      </c>
      <c r="H100">
        <f t="shared" si="0"/>
        <v>361</v>
      </c>
    </row>
    <row r="101" spans="1:8">
      <c r="A101" t="s">
        <v>187</v>
      </c>
      <c r="B101" t="s">
        <v>186</v>
      </c>
      <c r="C101" t="s">
        <v>279</v>
      </c>
      <c r="D101" s="3">
        <v>8</v>
      </c>
      <c r="E101" s="1" t="s">
        <v>239</v>
      </c>
      <c r="F101">
        <v>1</v>
      </c>
      <c r="G101" t="s">
        <v>237</v>
      </c>
      <c r="H101">
        <f t="shared" si="0"/>
        <v>576</v>
      </c>
    </row>
    <row r="102" spans="1:8">
      <c r="A102" t="s">
        <v>187</v>
      </c>
      <c r="B102" t="s">
        <v>186</v>
      </c>
      <c r="C102" t="s">
        <v>280</v>
      </c>
      <c r="D102" s="3">
        <v>8</v>
      </c>
      <c r="E102" s="1" t="s">
        <v>240</v>
      </c>
      <c r="F102">
        <v>2</v>
      </c>
      <c r="G102" t="s">
        <v>238</v>
      </c>
      <c r="H102">
        <f t="shared" si="0"/>
        <v>420</v>
      </c>
    </row>
    <row r="103" spans="1:8">
      <c r="A103" t="s">
        <v>187</v>
      </c>
      <c r="B103" t="s">
        <v>186</v>
      </c>
      <c r="C103" t="s">
        <v>281</v>
      </c>
      <c r="D103" s="3">
        <v>9</v>
      </c>
      <c r="E103" s="1" t="s">
        <v>242</v>
      </c>
      <c r="F103">
        <v>1</v>
      </c>
      <c r="G103" t="s">
        <v>241</v>
      </c>
      <c r="H103">
        <f t="shared" si="0"/>
        <v>497</v>
      </c>
    </row>
    <row r="104" spans="1:8">
      <c r="A104" t="s">
        <v>283</v>
      </c>
      <c r="B104" t="s">
        <v>282</v>
      </c>
      <c r="C104" t="s">
        <v>396</v>
      </c>
      <c r="D104" s="3">
        <v>1</v>
      </c>
      <c r="E104" s="1" t="s">
        <v>18</v>
      </c>
      <c r="F104">
        <v>1</v>
      </c>
      <c r="G104" s="4" t="s">
        <v>284</v>
      </c>
      <c r="H104">
        <f t="shared" si="0"/>
        <v>172</v>
      </c>
    </row>
    <row r="105" spans="1:8">
      <c r="A105" t="s">
        <v>283</v>
      </c>
      <c r="B105" t="s">
        <v>282</v>
      </c>
      <c r="C105" t="s">
        <v>397</v>
      </c>
      <c r="D105" s="3">
        <v>2.1</v>
      </c>
      <c r="E105" s="1" t="s">
        <v>19</v>
      </c>
      <c r="F105">
        <v>1</v>
      </c>
      <c r="G105" s="4" t="s">
        <v>285</v>
      </c>
      <c r="H105">
        <f t="shared" si="0"/>
        <v>582</v>
      </c>
    </row>
    <row r="106" spans="1:8">
      <c r="A106" t="s">
        <v>283</v>
      </c>
      <c r="B106" t="s">
        <v>282</v>
      </c>
      <c r="C106" t="s">
        <v>398</v>
      </c>
      <c r="D106" s="3">
        <v>2.1</v>
      </c>
      <c r="E106" s="1" t="s">
        <v>22</v>
      </c>
      <c r="F106">
        <v>2</v>
      </c>
      <c r="G106" s="4" t="s">
        <v>286</v>
      </c>
      <c r="H106">
        <f t="shared" si="0"/>
        <v>472</v>
      </c>
    </row>
    <row r="107" spans="1:8">
      <c r="A107" t="s">
        <v>283</v>
      </c>
      <c r="B107" t="s">
        <v>282</v>
      </c>
      <c r="C107" t="s">
        <v>399</v>
      </c>
      <c r="D107" s="3">
        <v>2.1</v>
      </c>
      <c r="E107" s="1" t="s">
        <v>191</v>
      </c>
      <c r="F107">
        <v>3</v>
      </c>
      <c r="G107" s="4" t="s">
        <v>287</v>
      </c>
      <c r="H107">
        <f t="shared" si="0"/>
        <v>439</v>
      </c>
    </row>
    <row r="108" spans="1:8">
      <c r="A108" t="s">
        <v>283</v>
      </c>
      <c r="B108" t="s">
        <v>282</v>
      </c>
      <c r="C108" t="s">
        <v>400</v>
      </c>
      <c r="D108" s="3">
        <v>2.2000000000000002</v>
      </c>
      <c r="E108" s="1" t="s">
        <v>194</v>
      </c>
      <c r="F108">
        <v>1</v>
      </c>
      <c r="G108" s="4" t="s">
        <v>288</v>
      </c>
      <c r="H108">
        <f t="shared" si="0"/>
        <v>649</v>
      </c>
    </row>
    <row r="109" spans="1:8">
      <c r="A109" t="s">
        <v>283</v>
      </c>
      <c r="B109" t="s">
        <v>282</v>
      </c>
      <c r="C109" t="s">
        <v>401</v>
      </c>
      <c r="D109" s="3">
        <v>2.2000000000000002</v>
      </c>
      <c r="E109" s="1" t="s">
        <v>25</v>
      </c>
      <c r="F109">
        <v>2</v>
      </c>
      <c r="G109" s="4" t="s">
        <v>289</v>
      </c>
      <c r="H109">
        <f t="shared" si="0"/>
        <v>312</v>
      </c>
    </row>
    <row r="110" spans="1:8">
      <c r="A110" t="s">
        <v>283</v>
      </c>
      <c r="B110" t="s">
        <v>282</v>
      </c>
      <c r="C110" t="s">
        <v>402</v>
      </c>
      <c r="D110" s="3">
        <v>2.2000000000000002</v>
      </c>
      <c r="E110" s="1" t="s">
        <v>51</v>
      </c>
      <c r="F110">
        <v>3</v>
      </c>
      <c r="G110" s="4" t="s">
        <v>290</v>
      </c>
      <c r="H110">
        <f t="shared" si="0"/>
        <v>356</v>
      </c>
    </row>
    <row r="111" spans="1:8">
      <c r="A111" t="s">
        <v>283</v>
      </c>
      <c r="B111" t="s">
        <v>282</v>
      </c>
      <c r="C111" t="s">
        <v>403</v>
      </c>
      <c r="D111" s="3">
        <v>2.2000000000000002</v>
      </c>
      <c r="E111" s="1" t="s">
        <v>33</v>
      </c>
      <c r="F111">
        <v>4</v>
      </c>
      <c r="G111" s="4" t="s">
        <v>291</v>
      </c>
      <c r="H111">
        <f t="shared" si="0"/>
        <v>383</v>
      </c>
    </row>
    <row r="112" spans="1:8">
      <c r="A112" t="s">
        <v>283</v>
      </c>
      <c r="B112" t="s">
        <v>282</v>
      </c>
      <c r="C112" t="s">
        <v>404</v>
      </c>
      <c r="D112" s="3">
        <v>2.2000000000000002</v>
      </c>
      <c r="E112" s="1" t="s">
        <v>30</v>
      </c>
      <c r="F112">
        <v>5</v>
      </c>
      <c r="G112" s="4" t="s">
        <v>292</v>
      </c>
      <c r="H112">
        <f t="shared" si="0"/>
        <v>244</v>
      </c>
    </row>
    <row r="113" spans="1:8">
      <c r="A113" t="s">
        <v>283</v>
      </c>
      <c r="B113" t="s">
        <v>282</v>
      </c>
      <c r="C113" t="s">
        <v>405</v>
      </c>
      <c r="D113" s="3">
        <v>3</v>
      </c>
      <c r="E113" s="1" t="s">
        <v>95</v>
      </c>
      <c r="F113">
        <v>1</v>
      </c>
      <c r="G113" s="4" t="s">
        <v>293</v>
      </c>
      <c r="H113">
        <f t="shared" si="0"/>
        <v>754</v>
      </c>
    </row>
    <row r="114" spans="1:8">
      <c r="A114" t="s">
        <v>283</v>
      </c>
      <c r="B114" t="s">
        <v>282</v>
      </c>
      <c r="C114" t="s">
        <v>406</v>
      </c>
      <c r="D114" s="3">
        <v>3</v>
      </c>
      <c r="E114" s="1" t="s">
        <v>296</v>
      </c>
      <c r="F114">
        <v>2</v>
      </c>
      <c r="G114" s="4" t="s">
        <v>294</v>
      </c>
      <c r="H114">
        <f t="shared" si="0"/>
        <v>416</v>
      </c>
    </row>
    <row r="115" spans="1:8">
      <c r="A115" t="s">
        <v>283</v>
      </c>
      <c r="B115" t="s">
        <v>282</v>
      </c>
      <c r="C115" t="s">
        <v>407</v>
      </c>
      <c r="D115" s="3">
        <v>3</v>
      </c>
      <c r="E115" s="1" t="s">
        <v>37</v>
      </c>
      <c r="F115">
        <v>3</v>
      </c>
      <c r="G115" s="4" t="s">
        <v>295</v>
      </c>
      <c r="H115">
        <f t="shared" si="0"/>
        <v>661</v>
      </c>
    </row>
    <row r="116" spans="1:8">
      <c r="A116" t="s">
        <v>283</v>
      </c>
      <c r="B116" t="s">
        <v>282</v>
      </c>
      <c r="C116" t="s">
        <v>408</v>
      </c>
      <c r="D116" s="3">
        <v>4.0999999999999996</v>
      </c>
      <c r="E116" s="1" t="s">
        <v>298</v>
      </c>
      <c r="F116">
        <v>1</v>
      </c>
      <c r="G116" s="4" t="s">
        <v>297</v>
      </c>
      <c r="H116">
        <f t="shared" si="0"/>
        <v>446</v>
      </c>
    </row>
    <row r="117" spans="1:8">
      <c r="A117" t="s">
        <v>283</v>
      </c>
      <c r="B117" t="s">
        <v>282</v>
      </c>
      <c r="C117" t="s">
        <v>409</v>
      </c>
      <c r="D117" s="3">
        <v>4.2</v>
      </c>
      <c r="E117" s="1" t="s">
        <v>100</v>
      </c>
      <c r="F117">
        <v>2</v>
      </c>
      <c r="G117" s="4" t="s">
        <v>299</v>
      </c>
      <c r="H117">
        <f t="shared" si="0"/>
        <v>642</v>
      </c>
    </row>
    <row r="118" spans="1:8">
      <c r="A118" t="s">
        <v>283</v>
      </c>
      <c r="B118" t="s">
        <v>282</v>
      </c>
      <c r="C118" t="s">
        <v>410</v>
      </c>
      <c r="D118" s="3">
        <v>4.2</v>
      </c>
      <c r="E118" s="1" t="s">
        <v>43</v>
      </c>
      <c r="F118">
        <v>3</v>
      </c>
      <c r="G118" s="4" t="s">
        <v>300</v>
      </c>
      <c r="H118">
        <f t="shared" si="0"/>
        <v>712</v>
      </c>
    </row>
    <row r="119" spans="1:8">
      <c r="A119" t="s">
        <v>283</v>
      </c>
      <c r="B119" t="s">
        <v>282</v>
      </c>
      <c r="C119" t="s">
        <v>411</v>
      </c>
      <c r="D119" s="3">
        <v>4.2</v>
      </c>
      <c r="E119" s="1" t="s">
        <v>206</v>
      </c>
      <c r="F119">
        <v>4</v>
      </c>
      <c r="G119" s="4" t="s">
        <v>301</v>
      </c>
      <c r="H119">
        <f t="shared" si="0"/>
        <v>671</v>
      </c>
    </row>
    <row r="120" spans="1:8">
      <c r="A120" t="s">
        <v>283</v>
      </c>
      <c r="B120" t="s">
        <v>282</v>
      </c>
      <c r="C120" t="s">
        <v>412</v>
      </c>
      <c r="D120" s="3">
        <v>4.2</v>
      </c>
      <c r="E120" s="1" t="s">
        <v>105</v>
      </c>
      <c r="F120">
        <v>5</v>
      </c>
      <c r="G120" s="4" t="s">
        <v>302</v>
      </c>
      <c r="H120">
        <f t="shared" si="0"/>
        <v>657</v>
      </c>
    </row>
    <row r="121" spans="1:8">
      <c r="A121" t="s">
        <v>283</v>
      </c>
      <c r="B121" t="s">
        <v>282</v>
      </c>
      <c r="C121" t="s">
        <v>413</v>
      </c>
      <c r="D121" s="3">
        <v>4.3</v>
      </c>
      <c r="E121" s="1" t="s">
        <v>68</v>
      </c>
      <c r="F121">
        <v>1</v>
      </c>
      <c r="G121" s="4" t="s">
        <v>303</v>
      </c>
      <c r="H121">
        <f t="shared" si="0"/>
        <v>733</v>
      </c>
    </row>
    <row r="122" spans="1:8">
      <c r="A122" t="s">
        <v>283</v>
      </c>
      <c r="B122" t="s">
        <v>282</v>
      </c>
      <c r="C122" t="s">
        <v>414</v>
      </c>
      <c r="D122" s="3">
        <v>4.4000000000000004</v>
      </c>
      <c r="E122" s="1" t="s">
        <v>210</v>
      </c>
      <c r="F122">
        <v>1</v>
      </c>
      <c r="G122" s="4" t="s">
        <v>304</v>
      </c>
      <c r="H122">
        <f t="shared" si="0"/>
        <v>458</v>
      </c>
    </row>
    <row r="123" spans="1:8">
      <c r="A123" t="s">
        <v>283</v>
      </c>
      <c r="B123" t="s">
        <v>282</v>
      </c>
      <c r="C123" t="s">
        <v>415</v>
      </c>
      <c r="D123" s="3">
        <v>4.4000000000000004</v>
      </c>
      <c r="E123" s="1" t="s">
        <v>305</v>
      </c>
      <c r="F123">
        <v>2</v>
      </c>
      <c r="G123" s="4" t="s">
        <v>306</v>
      </c>
      <c r="H123">
        <f t="shared" si="0"/>
        <v>560</v>
      </c>
    </row>
    <row r="124" spans="1:8">
      <c r="A124" t="s">
        <v>283</v>
      </c>
      <c r="B124" t="s">
        <v>282</v>
      </c>
      <c r="C124" t="s">
        <v>416</v>
      </c>
      <c r="D124" s="3">
        <v>4.4000000000000004</v>
      </c>
      <c r="E124" s="1" t="s">
        <v>213</v>
      </c>
      <c r="F124">
        <v>3</v>
      </c>
      <c r="G124" s="4" t="s">
        <v>307</v>
      </c>
      <c r="H124">
        <f t="shared" si="0"/>
        <v>365</v>
      </c>
    </row>
    <row r="125" spans="1:8">
      <c r="A125" t="s">
        <v>283</v>
      </c>
      <c r="B125" t="s">
        <v>282</v>
      </c>
      <c r="C125" t="s">
        <v>417</v>
      </c>
      <c r="D125" s="3">
        <v>5.0999999999999996</v>
      </c>
      <c r="E125" s="1" t="s">
        <v>80</v>
      </c>
      <c r="F125">
        <v>1</v>
      </c>
      <c r="G125" s="4" t="s">
        <v>308</v>
      </c>
      <c r="H125">
        <f t="shared" si="0"/>
        <v>627</v>
      </c>
    </row>
    <row r="126" spans="1:8">
      <c r="A126" t="s">
        <v>283</v>
      </c>
      <c r="B126" t="s">
        <v>282</v>
      </c>
      <c r="C126" t="s">
        <v>418</v>
      </c>
      <c r="D126" s="3">
        <v>5.0999999999999996</v>
      </c>
      <c r="E126" s="1" t="s">
        <v>110</v>
      </c>
      <c r="F126">
        <v>2</v>
      </c>
      <c r="G126" s="4" t="s">
        <v>309</v>
      </c>
      <c r="H126">
        <f t="shared" si="0"/>
        <v>389</v>
      </c>
    </row>
    <row r="127" spans="1:8">
      <c r="A127" t="s">
        <v>283</v>
      </c>
      <c r="B127" t="s">
        <v>282</v>
      </c>
      <c r="C127" t="s">
        <v>419</v>
      </c>
      <c r="D127" s="3">
        <v>5.0999999999999996</v>
      </c>
      <c r="E127" s="1" t="s">
        <v>312</v>
      </c>
      <c r="F127">
        <v>3</v>
      </c>
      <c r="G127" s="4" t="s">
        <v>310</v>
      </c>
      <c r="H127">
        <f t="shared" si="0"/>
        <v>471</v>
      </c>
    </row>
    <row r="128" spans="1:8">
      <c r="A128" t="s">
        <v>283</v>
      </c>
      <c r="B128" t="s">
        <v>282</v>
      </c>
      <c r="C128" t="s">
        <v>420</v>
      </c>
      <c r="D128" s="3">
        <v>5.0999999999999996</v>
      </c>
      <c r="E128" s="1" t="s">
        <v>112</v>
      </c>
      <c r="F128">
        <v>4</v>
      </c>
      <c r="G128" s="4" t="s">
        <v>311</v>
      </c>
      <c r="H128">
        <f t="shared" si="0"/>
        <v>312</v>
      </c>
    </row>
    <row r="129" spans="1:8">
      <c r="A129" t="s">
        <v>283</v>
      </c>
      <c r="B129" t="s">
        <v>282</v>
      </c>
      <c r="C129" t="s">
        <v>421</v>
      </c>
      <c r="D129" s="3">
        <v>5.2</v>
      </c>
      <c r="E129" s="1" t="s">
        <v>314</v>
      </c>
      <c r="F129">
        <v>1</v>
      </c>
      <c r="G129" s="4" t="s">
        <v>313</v>
      </c>
      <c r="H129">
        <f t="shared" si="0"/>
        <v>433</v>
      </c>
    </row>
    <row r="130" spans="1:8">
      <c r="A130" t="s">
        <v>283</v>
      </c>
      <c r="B130" t="s">
        <v>282</v>
      </c>
      <c r="C130" t="s">
        <v>422</v>
      </c>
      <c r="D130" s="3">
        <v>5.2</v>
      </c>
      <c r="E130" s="1" t="s">
        <v>83</v>
      </c>
      <c r="F130">
        <v>2</v>
      </c>
      <c r="G130" s="4" t="s">
        <v>315</v>
      </c>
      <c r="H130">
        <f t="shared" si="0"/>
        <v>740</v>
      </c>
    </row>
    <row r="131" spans="1:8">
      <c r="A131" t="s">
        <v>283</v>
      </c>
      <c r="B131" t="s">
        <v>282</v>
      </c>
      <c r="C131" t="s">
        <v>423</v>
      </c>
      <c r="D131" s="3">
        <v>5.2</v>
      </c>
      <c r="E131" s="1" t="s">
        <v>117</v>
      </c>
      <c r="F131">
        <v>3</v>
      </c>
      <c r="G131" s="4" t="s">
        <v>316</v>
      </c>
      <c r="H131">
        <f t="shared" si="0"/>
        <v>356</v>
      </c>
    </row>
    <row r="132" spans="1:8">
      <c r="A132" t="s">
        <v>283</v>
      </c>
      <c r="B132" t="s">
        <v>282</v>
      </c>
      <c r="C132" t="s">
        <v>424</v>
      </c>
      <c r="D132" s="3">
        <v>5.3</v>
      </c>
      <c r="E132" s="1" t="s">
        <v>84</v>
      </c>
      <c r="F132">
        <v>1</v>
      </c>
      <c r="G132" s="4" t="s">
        <v>317</v>
      </c>
      <c r="H132">
        <f t="shared" si="0"/>
        <v>688</v>
      </c>
    </row>
    <row r="133" spans="1:8">
      <c r="A133" t="s">
        <v>283</v>
      </c>
      <c r="B133" t="s">
        <v>282</v>
      </c>
      <c r="C133" t="s">
        <v>425</v>
      </c>
      <c r="D133" s="3">
        <v>5.4</v>
      </c>
      <c r="E133" s="1" t="s">
        <v>119</v>
      </c>
      <c r="F133">
        <v>1</v>
      </c>
      <c r="G133" s="4" t="s">
        <v>318</v>
      </c>
      <c r="H133">
        <f t="shared" si="0"/>
        <v>578</v>
      </c>
    </row>
    <row r="134" spans="1:8">
      <c r="A134" t="s">
        <v>283</v>
      </c>
      <c r="B134" t="s">
        <v>282</v>
      </c>
      <c r="C134" t="s">
        <v>426</v>
      </c>
      <c r="D134" s="3">
        <v>5.4</v>
      </c>
      <c r="E134" s="1" t="s">
        <v>230</v>
      </c>
      <c r="F134">
        <v>2</v>
      </c>
      <c r="G134" s="4" t="s">
        <v>319</v>
      </c>
      <c r="H134">
        <f t="shared" si="0"/>
        <v>529</v>
      </c>
    </row>
    <row r="135" spans="1:8">
      <c r="A135" t="s">
        <v>283</v>
      </c>
      <c r="B135" t="s">
        <v>282</v>
      </c>
      <c r="C135" t="s">
        <v>427</v>
      </c>
      <c r="D135" s="3">
        <v>5.4</v>
      </c>
      <c r="E135" s="1" t="s">
        <v>232</v>
      </c>
      <c r="F135">
        <v>3</v>
      </c>
      <c r="G135" s="4" t="s">
        <v>320</v>
      </c>
      <c r="H135">
        <f t="shared" si="0"/>
        <v>677</v>
      </c>
    </row>
    <row r="136" spans="1:8">
      <c r="A136" t="s">
        <v>283</v>
      </c>
      <c r="B136" t="s">
        <v>282</v>
      </c>
      <c r="C136" t="s">
        <v>428</v>
      </c>
      <c r="D136" s="3">
        <v>5.4</v>
      </c>
      <c r="E136" s="1" t="s">
        <v>233</v>
      </c>
      <c r="F136">
        <v>4</v>
      </c>
      <c r="G136" s="4" t="s">
        <v>321</v>
      </c>
      <c r="H136">
        <f t="shared" si="0"/>
        <v>338</v>
      </c>
    </row>
    <row r="137" spans="1:8">
      <c r="A137" t="s">
        <v>283</v>
      </c>
      <c r="B137" t="s">
        <v>282</v>
      </c>
      <c r="C137" t="s">
        <v>429</v>
      </c>
      <c r="D137" s="3">
        <v>5.4</v>
      </c>
      <c r="E137" s="1" t="s">
        <v>234</v>
      </c>
      <c r="F137">
        <v>5</v>
      </c>
      <c r="G137" s="4" t="s">
        <v>322</v>
      </c>
      <c r="H137">
        <f t="shared" si="0"/>
        <v>679</v>
      </c>
    </row>
    <row r="138" spans="1:8">
      <c r="A138" t="s">
        <v>283</v>
      </c>
      <c r="B138" t="s">
        <v>282</v>
      </c>
      <c r="C138" t="s">
        <v>430</v>
      </c>
      <c r="D138" s="3">
        <v>5.4</v>
      </c>
      <c r="E138" s="1" t="s">
        <v>324</v>
      </c>
      <c r="F138">
        <v>6</v>
      </c>
      <c r="G138" s="4" t="s">
        <v>323</v>
      </c>
      <c r="H138">
        <f t="shared" si="0"/>
        <v>684</v>
      </c>
    </row>
    <row r="139" spans="1:8">
      <c r="A139" t="s">
        <v>283</v>
      </c>
      <c r="B139" t="s">
        <v>282</v>
      </c>
      <c r="C139" t="s">
        <v>431</v>
      </c>
      <c r="D139" s="3">
        <v>5.5</v>
      </c>
      <c r="E139" s="1" t="s">
        <v>239</v>
      </c>
      <c r="F139">
        <v>1</v>
      </c>
      <c r="G139" s="4" t="s">
        <v>325</v>
      </c>
      <c r="H139">
        <f t="shared" si="0"/>
        <v>852</v>
      </c>
    </row>
    <row r="140" spans="1:8">
      <c r="A140" t="s">
        <v>283</v>
      </c>
      <c r="B140" t="s">
        <v>282</v>
      </c>
      <c r="C140" t="s">
        <v>432</v>
      </c>
      <c r="D140" s="3">
        <v>5.6</v>
      </c>
      <c r="E140" s="1" t="s">
        <v>327</v>
      </c>
      <c r="F140">
        <v>1</v>
      </c>
      <c r="G140" s="4" t="s">
        <v>326</v>
      </c>
      <c r="H140">
        <f t="shared" si="0"/>
        <v>529</v>
      </c>
    </row>
    <row r="141" spans="1:8">
      <c r="A141" t="s">
        <v>283</v>
      </c>
      <c r="B141" t="s">
        <v>282</v>
      </c>
      <c r="C141" t="s">
        <v>433</v>
      </c>
      <c r="D141" s="3">
        <v>5.6</v>
      </c>
      <c r="E141" s="1" t="s">
        <v>329</v>
      </c>
      <c r="F141">
        <v>2</v>
      </c>
      <c r="G141" s="4" t="s">
        <v>328</v>
      </c>
      <c r="H141">
        <f t="shared" si="0"/>
        <v>477</v>
      </c>
    </row>
    <row r="142" spans="1:8">
      <c r="A142" t="s">
        <v>283</v>
      </c>
      <c r="B142" t="s">
        <v>282</v>
      </c>
      <c r="C142" t="s">
        <v>434</v>
      </c>
      <c r="D142" s="3">
        <v>5.6</v>
      </c>
      <c r="E142" s="1" t="s">
        <v>331</v>
      </c>
      <c r="F142">
        <v>3</v>
      </c>
      <c r="G142" s="4" t="s">
        <v>330</v>
      </c>
      <c r="H142">
        <f t="shared" si="0"/>
        <v>689</v>
      </c>
    </row>
    <row r="143" spans="1:8">
      <c r="A143" t="s">
        <v>283</v>
      </c>
      <c r="B143" t="s">
        <v>282</v>
      </c>
      <c r="C143" t="s">
        <v>435</v>
      </c>
      <c r="D143" s="3">
        <v>6.1</v>
      </c>
      <c r="E143" s="1" t="s">
        <v>333</v>
      </c>
      <c r="F143">
        <v>1</v>
      </c>
      <c r="G143" s="4" t="s">
        <v>332</v>
      </c>
      <c r="H143">
        <f t="shared" si="0"/>
        <v>511</v>
      </c>
    </row>
    <row r="144" spans="1:8">
      <c r="A144" t="s">
        <v>283</v>
      </c>
      <c r="B144" t="s">
        <v>282</v>
      </c>
      <c r="C144" t="s">
        <v>436</v>
      </c>
      <c r="D144" s="3">
        <v>6.1</v>
      </c>
      <c r="E144" s="1" t="s">
        <v>334</v>
      </c>
      <c r="F144">
        <v>2</v>
      </c>
      <c r="G144" s="4" t="s">
        <v>335</v>
      </c>
      <c r="H144">
        <f t="shared" si="0"/>
        <v>744</v>
      </c>
    </row>
    <row r="145" spans="1:8">
      <c r="A145" t="s">
        <v>283</v>
      </c>
      <c r="B145" t="s">
        <v>282</v>
      </c>
      <c r="C145" t="s">
        <v>437</v>
      </c>
      <c r="D145" s="3">
        <v>6.2</v>
      </c>
      <c r="E145" s="1" t="s">
        <v>337</v>
      </c>
      <c r="F145">
        <v>1</v>
      </c>
      <c r="G145" s="4" t="s">
        <v>336</v>
      </c>
      <c r="H145">
        <f t="shared" si="0"/>
        <v>397</v>
      </c>
    </row>
    <row r="146" spans="1:8">
      <c r="A146" t="s">
        <v>283</v>
      </c>
      <c r="B146" t="s">
        <v>282</v>
      </c>
      <c r="C146" t="s">
        <v>438</v>
      </c>
      <c r="D146" s="3">
        <v>6.2</v>
      </c>
      <c r="E146" s="1" t="s">
        <v>339</v>
      </c>
      <c r="F146">
        <v>2</v>
      </c>
      <c r="G146" s="4" t="s">
        <v>338</v>
      </c>
      <c r="H146">
        <f t="shared" si="0"/>
        <v>592</v>
      </c>
    </row>
    <row r="147" spans="1:8">
      <c r="A147" t="s">
        <v>283</v>
      </c>
      <c r="B147" t="s">
        <v>282</v>
      </c>
      <c r="C147" t="s">
        <v>439</v>
      </c>
      <c r="D147" s="3">
        <v>6.2</v>
      </c>
      <c r="E147" s="1" t="s">
        <v>341</v>
      </c>
      <c r="F147">
        <v>3</v>
      </c>
      <c r="G147" s="4" t="s">
        <v>340</v>
      </c>
      <c r="H147">
        <f t="shared" si="0"/>
        <v>589</v>
      </c>
    </row>
    <row r="148" spans="1:8">
      <c r="A148" t="s">
        <v>283</v>
      </c>
      <c r="B148" t="s">
        <v>282</v>
      </c>
      <c r="C148" t="s">
        <v>440</v>
      </c>
      <c r="D148" s="3">
        <v>6.2</v>
      </c>
      <c r="E148" s="1" t="s">
        <v>343</v>
      </c>
      <c r="F148">
        <v>4</v>
      </c>
      <c r="G148" s="4" t="s">
        <v>342</v>
      </c>
      <c r="H148">
        <f t="shared" si="0"/>
        <v>366</v>
      </c>
    </row>
    <row r="149" spans="1:8">
      <c r="A149" t="s">
        <v>283</v>
      </c>
      <c r="B149" t="s">
        <v>282</v>
      </c>
      <c r="C149" t="s">
        <v>441</v>
      </c>
      <c r="D149" s="3">
        <v>6.2</v>
      </c>
      <c r="E149" s="1" t="s">
        <v>343</v>
      </c>
      <c r="F149">
        <v>5</v>
      </c>
      <c r="G149" s="4" t="s">
        <v>344</v>
      </c>
      <c r="H149">
        <f t="shared" si="0"/>
        <v>555</v>
      </c>
    </row>
    <row r="150" spans="1:8">
      <c r="A150" t="s">
        <v>283</v>
      </c>
      <c r="B150" t="s">
        <v>282</v>
      </c>
      <c r="C150" t="s">
        <v>442</v>
      </c>
      <c r="D150" s="3">
        <v>6.2</v>
      </c>
      <c r="E150" s="1" t="s">
        <v>345</v>
      </c>
      <c r="F150">
        <v>6</v>
      </c>
      <c r="G150" s="4" t="s">
        <v>346</v>
      </c>
      <c r="H150">
        <f t="shared" si="0"/>
        <v>477</v>
      </c>
    </row>
    <row r="151" spans="1:8">
      <c r="A151" t="s">
        <v>283</v>
      </c>
      <c r="B151" t="s">
        <v>282</v>
      </c>
      <c r="C151" t="s">
        <v>443</v>
      </c>
      <c r="D151" s="3">
        <v>6.2</v>
      </c>
      <c r="E151" s="1" t="s">
        <v>345</v>
      </c>
      <c r="F151">
        <v>7</v>
      </c>
      <c r="G151" s="4" t="s">
        <v>347</v>
      </c>
      <c r="H151">
        <f t="shared" si="0"/>
        <v>220</v>
      </c>
    </row>
    <row r="152" spans="1:8">
      <c r="A152" t="s">
        <v>283</v>
      </c>
      <c r="B152" t="s">
        <v>282</v>
      </c>
      <c r="C152" t="s">
        <v>444</v>
      </c>
      <c r="D152" s="3">
        <v>6.3</v>
      </c>
      <c r="E152" s="1" t="s">
        <v>349</v>
      </c>
      <c r="F152">
        <v>1</v>
      </c>
      <c r="G152" s="4" t="s">
        <v>348</v>
      </c>
      <c r="H152">
        <f t="shared" si="0"/>
        <v>428</v>
      </c>
    </row>
    <row r="153" spans="1:8">
      <c r="A153" t="s">
        <v>283</v>
      </c>
      <c r="B153" t="s">
        <v>282</v>
      </c>
      <c r="C153" t="s">
        <v>445</v>
      </c>
      <c r="D153" s="3">
        <v>6.3</v>
      </c>
      <c r="E153" s="1" t="s">
        <v>351</v>
      </c>
      <c r="F153">
        <v>2</v>
      </c>
      <c r="G153" s="4" t="s">
        <v>350</v>
      </c>
      <c r="H153">
        <f t="shared" si="0"/>
        <v>452</v>
      </c>
    </row>
    <row r="154" spans="1:8">
      <c r="A154" t="s">
        <v>283</v>
      </c>
      <c r="B154" t="s">
        <v>282</v>
      </c>
      <c r="C154" t="s">
        <v>446</v>
      </c>
      <c r="D154" s="3">
        <v>6.3</v>
      </c>
      <c r="E154" s="1" t="s">
        <v>353</v>
      </c>
      <c r="F154">
        <v>3</v>
      </c>
      <c r="G154" s="4" t="s">
        <v>352</v>
      </c>
      <c r="H154">
        <f t="shared" si="0"/>
        <v>483</v>
      </c>
    </row>
    <row r="155" spans="1:8">
      <c r="A155" t="s">
        <v>283</v>
      </c>
      <c r="B155" t="s">
        <v>282</v>
      </c>
      <c r="C155" t="s">
        <v>447</v>
      </c>
      <c r="D155" s="3">
        <v>6.3</v>
      </c>
      <c r="E155" s="1" t="s">
        <v>355</v>
      </c>
      <c r="F155">
        <v>4</v>
      </c>
      <c r="G155" s="4" t="s">
        <v>354</v>
      </c>
      <c r="H155">
        <f t="shared" si="0"/>
        <v>768</v>
      </c>
    </row>
    <row r="156" spans="1:8">
      <c r="A156" t="s">
        <v>283</v>
      </c>
      <c r="B156" t="s">
        <v>282</v>
      </c>
      <c r="C156" t="s">
        <v>448</v>
      </c>
      <c r="D156" s="3">
        <v>6.4</v>
      </c>
      <c r="E156" s="1" t="s">
        <v>357</v>
      </c>
      <c r="F156">
        <v>1</v>
      </c>
      <c r="G156" s="4" t="s">
        <v>356</v>
      </c>
      <c r="H156">
        <f t="shared" si="0"/>
        <v>467</v>
      </c>
    </row>
    <row r="157" spans="1:8">
      <c r="A157" t="s">
        <v>283</v>
      </c>
      <c r="B157" t="s">
        <v>282</v>
      </c>
      <c r="C157" t="s">
        <v>449</v>
      </c>
      <c r="D157" s="3">
        <v>6.4</v>
      </c>
      <c r="E157" s="1" t="s">
        <v>359</v>
      </c>
      <c r="F157">
        <v>2</v>
      </c>
      <c r="G157" s="4" t="s">
        <v>358</v>
      </c>
      <c r="H157">
        <f t="shared" si="0"/>
        <v>537</v>
      </c>
    </row>
    <row r="158" spans="1:8">
      <c r="A158" t="s">
        <v>283</v>
      </c>
      <c r="B158" t="s">
        <v>282</v>
      </c>
      <c r="C158" t="s">
        <v>450</v>
      </c>
      <c r="D158" s="3">
        <v>6.4</v>
      </c>
      <c r="E158" s="1" t="s">
        <v>361</v>
      </c>
      <c r="F158">
        <v>3</v>
      </c>
      <c r="G158" s="4" t="s">
        <v>360</v>
      </c>
      <c r="H158">
        <f t="shared" si="0"/>
        <v>553</v>
      </c>
    </row>
    <row r="159" spans="1:8">
      <c r="A159" t="s">
        <v>283</v>
      </c>
      <c r="B159" t="s">
        <v>282</v>
      </c>
      <c r="C159" t="s">
        <v>451</v>
      </c>
      <c r="D159" s="3">
        <v>6.4</v>
      </c>
      <c r="E159" s="1" t="s">
        <v>363</v>
      </c>
      <c r="F159">
        <v>4</v>
      </c>
      <c r="G159" s="4" t="s">
        <v>362</v>
      </c>
      <c r="H159">
        <f t="shared" si="0"/>
        <v>564</v>
      </c>
    </row>
    <row r="160" spans="1:8">
      <c r="A160" t="s">
        <v>283</v>
      </c>
      <c r="B160" t="s">
        <v>282</v>
      </c>
      <c r="C160" t="s">
        <v>452</v>
      </c>
      <c r="D160" s="3">
        <v>6.4</v>
      </c>
      <c r="E160" s="1" t="s">
        <v>365</v>
      </c>
      <c r="F160">
        <v>5</v>
      </c>
      <c r="G160" s="4" t="s">
        <v>364</v>
      </c>
      <c r="H160">
        <f t="shared" si="0"/>
        <v>442</v>
      </c>
    </row>
    <row r="161" spans="1:8">
      <c r="A161" t="s">
        <v>283</v>
      </c>
      <c r="B161" t="s">
        <v>282</v>
      </c>
      <c r="C161" t="s">
        <v>453</v>
      </c>
      <c r="D161" s="3">
        <v>6.4</v>
      </c>
      <c r="E161" s="1" t="s">
        <v>367</v>
      </c>
      <c r="F161">
        <v>6</v>
      </c>
      <c r="G161" s="4" t="s">
        <v>366</v>
      </c>
      <c r="H161">
        <f t="shared" si="0"/>
        <v>711</v>
      </c>
    </row>
    <row r="162" spans="1:8">
      <c r="A162" t="s">
        <v>283</v>
      </c>
      <c r="B162" t="s">
        <v>282</v>
      </c>
      <c r="C162" t="s">
        <v>454</v>
      </c>
      <c r="D162" s="3">
        <v>6.5</v>
      </c>
      <c r="E162" s="1" t="s">
        <v>369</v>
      </c>
      <c r="F162">
        <v>1</v>
      </c>
      <c r="G162" s="4" t="s">
        <v>368</v>
      </c>
      <c r="H162">
        <f t="shared" si="0"/>
        <v>440</v>
      </c>
    </row>
    <row r="163" spans="1:8">
      <c r="A163" t="s">
        <v>283</v>
      </c>
      <c r="B163" t="s">
        <v>282</v>
      </c>
      <c r="C163" t="s">
        <v>455</v>
      </c>
      <c r="D163" s="3">
        <v>6.6</v>
      </c>
      <c r="E163" s="1" t="s">
        <v>371</v>
      </c>
      <c r="F163">
        <v>1</v>
      </c>
      <c r="G163" s="4" t="s">
        <v>370</v>
      </c>
      <c r="H163">
        <f t="shared" si="0"/>
        <v>779</v>
      </c>
    </row>
    <row r="164" spans="1:8">
      <c r="A164" t="s">
        <v>283</v>
      </c>
      <c r="B164" t="s">
        <v>282</v>
      </c>
      <c r="C164" t="s">
        <v>456</v>
      </c>
      <c r="D164" s="3">
        <v>6.6</v>
      </c>
      <c r="E164" s="1" t="s">
        <v>372</v>
      </c>
      <c r="F164">
        <v>2</v>
      </c>
      <c r="G164" s="4" t="s">
        <v>373</v>
      </c>
      <c r="H164">
        <f t="shared" si="0"/>
        <v>143</v>
      </c>
    </row>
    <row r="165" spans="1:8">
      <c r="A165" t="s">
        <v>283</v>
      </c>
      <c r="B165" t="s">
        <v>282</v>
      </c>
      <c r="C165" t="s">
        <v>457</v>
      </c>
      <c r="D165" s="3">
        <v>7.1</v>
      </c>
      <c r="E165" s="1" t="s">
        <v>375</v>
      </c>
      <c r="F165">
        <v>1</v>
      </c>
      <c r="G165" s="4" t="s">
        <v>374</v>
      </c>
      <c r="H165">
        <f t="shared" si="0"/>
        <v>545</v>
      </c>
    </row>
    <row r="166" spans="1:8">
      <c r="A166" t="s">
        <v>283</v>
      </c>
      <c r="B166" t="s">
        <v>282</v>
      </c>
      <c r="C166" t="s">
        <v>458</v>
      </c>
      <c r="D166" s="3">
        <v>7.2</v>
      </c>
      <c r="E166" s="1" t="s">
        <v>377</v>
      </c>
      <c r="F166">
        <v>1</v>
      </c>
      <c r="G166" s="4" t="s">
        <v>376</v>
      </c>
      <c r="H166">
        <f t="shared" si="0"/>
        <v>475</v>
      </c>
    </row>
    <row r="167" spans="1:8">
      <c r="A167" t="s">
        <v>283</v>
      </c>
      <c r="B167" t="s">
        <v>282</v>
      </c>
      <c r="C167" t="s">
        <v>459</v>
      </c>
      <c r="D167" s="3">
        <v>7.2</v>
      </c>
      <c r="E167" s="1" t="s">
        <v>379</v>
      </c>
      <c r="F167">
        <v>2</v>
      </c>
      <c r="G167" s="4" t="s">
        <v>378</v>
      </c>
      <c r="H167">
        <f t="shared" si="0"/>
        <v>323</v>
      </c>
    </row>
    <row r="168" spans="1:8">
      <c r="A168" t="s">
        <v>283</v>
      </c>
      <c r="B168" t="s">
        <v>282</v>
      </c>
      <c r="C168" t="s">
        <v>460</v>
      </c>
      <c r="D168" s="3">
        <v>7.3</v>
      </c>
      <c r="E168" s="1" t="s">
        <v>381</v>
      </c>
      <c r="F168">
        <v>1</v>
      </c>
      <c r="G168" s="4" t="s">
        <v>380</v>
      </c>
      <c r="H168">
        <f t="shared" si="0"/>
        <v>512</v>
      </c>
    </row>
    <row r="169" spans="1:8">
      <c r="A169" t="s">
        <v>283</v>
      </c>
      <c r="B169" t="s">
        <v>282</v>
      </c>
      <c r="C169" t="s">
        <v>461</v>
      </c>
      <c r="D169" s="3">
        <v>8.1</v>
      </c>
      <c r="E169" s="1" t="s">
        <v>383</v>
      </c>
      <c r="F169">
        <v>1</v>
      </c>
      <c r="G169" s="4" t="s">
        <v>382</v>
      </c>
      <c r="H169">
        <f t="shared" si="0"/>
        <v>625</v>
      </c>
    </row>
    <row r="170" spans="1:8">
      <c r="A170" t="s">
        <v>283</v>
      </c>
      <c r="B170" t="s">
        <v>282</v>
      </c>
      <c r="C170" t="s">
        <v>462</v>
      </c>
      <c r="D170" s="3">
        <v>8.1999999999999993</v>
      </c>
      <c r="E170" s="1" t="s">
        <v>385</v>
      </c>
      <c r="F170">
        <v>1</v>
      </c>
      <c r="G170" s="4" t="s">
        <v>384</v>
      </c>
      <c r="H170">
        <f t="shared" si="0"/>
        <v>531</v>
      </c>
    </row>
    <row r="171" spans="1:8">
      <c r="A171" t="s">
        <v>283</v>
      </c>
      <c r="B171" t="s">
        <v>282</v>
      </c>
      <c r="C171" t="s">
        <v>463</v>
      </c>
      <c r="D171" s="3">
        <v>8.1999999999999993</v>
      </c>
      <c r="E171" s="1" t="s">
        <v>387</v>
      </c>
      <c r="F171">
        <v>2</v>
      </c>
      <c r="G171" s="4" t="s">
        <v>386</v>
      </c>
      <c r="H171">
        <f t="shared" si="0"/>
        <v>773</v>
      </c>
    </row>
    <row r="172" spans="1:8">
      <c r="A172" t="s">
        <v>283</v>
      </c>
      <c r="B172" t="s">
        <v>282</v>
      </c>
      <c r="C172" t="s">
        <v>464</v>
      </c>
      <c r="D172" s="3">
        <v>8.1999999999999993</v>
      </c>
      <c r="E172" s="1" t="s">
        <v>389</v>
      </c>
      <c r="F172">
        <v>3</v>
      </c>
      <c r="G172" s="4" t="s">
        <v>388</v>
      </c>
      <c r="H172">
        <f t="shared" si="0"/>
        <v>660</v>
      </c>
    </row>
    <row r="173" spans="1:8">
      <c r="A173" t="s">
        <v>283</v>
      </c>
      <c r="B173" t="s">
        <v>282</v>
      </c>
      <c r="C173" t="s">
        <v>465</v>
      </c>
      <c r="D173" s="3">
        <v>8.3000000000000007</v>
      </c>
      <c r="E173" s="1" t="s">
        <v>390</v>
      </c>
      <c r="F173">
        <v>1</v>
      </c>
      <c r="G173" s="4" t="s">
        <v>391</v>
      </c>
      <c r="H173">
        <f t="shared" si="0"/>
        <v>400</v>
      </c>
    </row>
    <row r="174" spans="1:8">
      <c r="A174" t="s">
        <v>283</v>
      </c>
      <c r="B174" t="s">
        <v>282</v>
      </c>
      <c r="C174" t="s">
        <v>466</v>
      </c>
      <c r="D174" s="3">
        <v>9</v>
      </c>
      <c r="E174" s="1" t="s">
        <v>394</v>
      </c>
      <c r="F174">
        <v>1</v>
      </c>
      <c r="G174" s="4" t="s">
        <v>392</v>
      </c>
      <c r="H174">
        <f t="shared" si="0"/>
        <v>494</v>
      </c>
    </row>
    <row r="175" spans="1:8">
      <c r="A175" t="s">
        <v>283</v>
      </c>
      <c r="B175" t="s">
        <v>282</v>
      </c>
      <c r="C175" t="s">
        <v>467</v>
      </c>
      <c r="D175" s="3">
        <v>9</v>
      </c>
      <c r="E175" s="1" t="s">
        <v>395</v>
      </c>
      <c r="F175">
        <v>2</v>
      </c>
      <c r="G175" s="4" t="s">
        <v>393</v>
      </c>
      <c r="H175">
        <f t="shared" si="0"/>
        <v>621</v>
      </c>
    </row>
  </sheetData>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luoxuhang</dc:creator>
  <cp:lastModifiedBy>luoxuhang</cp:lastModifiedBy>
  <dcterms:created xsi:type="dcterms:W3CDTF">2026-02-16T01:31:35Z</dcterms:created>
  <dcterms:modified xsi:type="dcterms:W3CDTF">2026-02-20T13:18:46Z</dcterms:modified>
</cp:coreProperties>
</file>